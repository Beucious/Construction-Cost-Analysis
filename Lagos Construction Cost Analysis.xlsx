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Pivot_Tables" sheetId="3" r:id="rId7"/>
    <sheet state="visible" name="Dashboard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<sst xmlns="http://schemas.openxmlformats.org/spreadsheetml/2006/main" count="574" uniqueCount="111">
  <si>
    <t>Project_ID</t>
  </si>
  <si>
    <t>Project_Name</t>
  </si>
  <si>
    <t>Category</t>
  </si>
  <si>
    <t>Item_Description</t>
  </si>
  <si>
    <t>Budgeted_Cost_NGN</t>
  </si>
  <si>
    <t>Actual_Cost_NGN</t>
  </si>
  <si>
    <t>Month</t>
  </si>
  <si>
    <t>Project_Phase</t>
  </si>
  <si>
    <t>PRJ-001</t>
  </si>
  <si>
    <t>Lekki Primary School Block A</t>
  </si>
  <si>
    <t>Materials</t>
  </si>
  <si>
    <t>Cement and concrete works</t>
  </si>
  <si>
    <t>Foundation</t>
  </si>
  <si>
    <t>Labour</t>
  </si>
  <si>
    <t>Concrete gang - foundation</t>
  </si>
  <si>
    <t>Equipment</t>
  </si>
  <si>
    <t>Concrete mixer hire</t>
  </si>
  <si>
    <t>PRJ-002</t>
  </si>
  <si>
    <t>Surulere Health Centre Renovation</t>
  </si>
  <si>
    <t>Roofing sheets and trusses</t>
  </si>
  <si>
    <t>Superstructure</t>
  </si>
  <si>
    <t>Carpentry and roofing</t>
  </si>
  <si>
    <t>Scaffolding hire</t>
  </si>
  <si>
    <t>PRJ-003</t>
  </si>
  <si>
    <t>Ikeja Road Drainage Rehabilitation</t>
  </si>
  <si>
    <t>Precast drain channels</t>
  </si>
  <si>
    <t>Excavation and laying</t>
  </si>
  <si>
    <t>Excavator hire</t>
  </si>
  <si>
    <t>PRJ-004</t>
  </si>
  <si>
    <t>Yaba Community Hall Extension</t>
  </si>
  <si>
    <t>Blocks and mortar</t>
  </si>
  <si>
    <t>Block laying gang</t>
  </si>
  <si>
    <t>Steel reinforcement</t>
  </si>
  <si>
    <t>PRJ-005</t>
  </si>
  <si>
    <t>Apapa Staff Quarters Block B</t>
  </si>
  <si>
    <t>Electrical fittings and wiring</t>
  </si>
  <si>
    <t>Finishing</t>
  </si>
  <si>
    <t>Electrical installation</t>
  </si>
  <si>
    <t>Plumbing pipes and fittings</t>
  </si>
  <si>
    <t>PRJ-006</t>
  </si>
  <si>
    <t>Mushin Market Redevelopment</t>
  </si>
  <si>
    <t>Concrete gang - slabs</t>
  </si>
  <si>
    <t>Tower crane hire</t>
  </si>
  <si>
    <t>PRJ-007</t>
  </si>
  <si>
    <t>Gbagada Secondary School Library</t>
  </si>
  <si>
    <t>Roofing and ceiling</t>
  </si>
  <si>
    <t>Finishing and painting</t>
  </si>
  <si>
    <t>Doors and windows</t>
  </si>
  <si>
    <t>PRJ-008</t>
  </si>
  <si>
    <t>Ojota Pedestrian Bridge</t>
  </si>
  <si>
    <t>Steel fabrication</t>
  </si>
  <si>
    <t>Steel erection</t>
  </si>
  <si>
    <t>Mobile crane hire</t>
  </si>
  <si>
    <t>PRJ-009</t>
  </si>
  <si>
    <t>Badagry Waterfront Promenade</t>
  </si>
  <si>
    <t>Interlocking paving</t>
  </si>
  <si>
    <t>Paving gang</t>
  </si>
  <si>
    <t>Lighting fixtures</t>
  </si>
  <si>
    <t>PRJ-010</t>
  </si>
  <si>
    <t>Ikorodu Bus Terminal Phase 2</t>
  </si>
  <si>
    <t>Concrete pavement</t>
  </si>
  <si>
    <t>Earthworks and compaction</t>
  </si>
  <si>
    <t>Compactor and grader hire</t>
  </si>
  <si>
    <t>PRJ-011</t>
  </si>
  <si>
    <t>Victoria Island Office Complex</t>
  </si>
  <si>
    <t>Curtain wall glazing</t>
  </si>
  <si>
    <t>Glazing installation</t>
  </si>
  <si>
    <t>Floor tiling - marble</t>
  </si>
  <si>
    <t>PRJ-012</t>
  </si>
  <si>
    <t>Agege Primary School Classrooms</t>
  </si>
  <si>
    <t>Block laying and plastering</t>
  </si>
  <si>
    <t>Roofing sheets</t>
  </si>
  <si>
    <t>PRJ-013</t>
  </si>
  <si>
    <t>Epe Resort Access Road</t>
  </si>
  <si>
    <t>Asphalt and base course</t>
  </si>
  <si>
    <t>Asphalt laying gang</t>
  </si>
  <si>
    <t>Asphalt paver hire</t>
  </si>
  <si>
    <t>PRJ-014</t>
  </si>
  <si>
    <t>Ajah Affordable Housing Block C</t>
  </si>
  <si>
    <t>Concrete frame works</t>
  </si>
  <si>
    <t>Formwork and concrete</t>
  </si>
  <si>
    <t>Electrical and mechanical</t>
  </si>
  <si>
    <t>PRJ-015</t>
  </si>
  <si>
    <t>Oshodi Transport Interchange</t>
  </si>
  <si>
    <t>Structural steel</t>
  </si>
  <si>
    <t>Structural steel erection</t>
  </si>
  <si>
    <t>Heavy crane and rigging</t>
  </si>
  <si>
    <t>PRJ-016</t>
  </si>
  <si>
    <t>Shomolu Staff Clinic</t>
  </si>
  <si>
    <t>Block work and plaster</t>
  </si>
  <si>
    <t>Masonry gang</t>
  </si>
  <si>
    <t>PRJ-017</t>
  </si>
  <si>
    <t>Alimosho Model School</t>
  </si>
  <si>
    <t>Ceramic floor tiles</t>
  </si>
  <si>
    <t>Tiling and screeding</t>
  </si>
  <si>
    <t>Painting and surface prep</t>
  </si>
  <si>
    <t>Variance_NGN</t>
  </si>
  <si>
    <t>Variance_Pct</t>
  </si>
  <si>
    <t>Budget_status</t>
  </si>
  <si>
    <t>SUM of Budgeted_Cost_NGN</t>
  </si>
  <si>
    <t>SUM of Actual_Cost_NGN</t>
  </si>
  <si>
    <t>Grand Total</t>
  </si>
  <si>
    <t>SUM of Variance_NGN</t>
  </si>
  <si>
    <t>COUNTA of Project_ID</t>
  </si>
  <si>
    <t>Over Budget</t>
  </si>
  <si>
    <t>Under Budget</t>
  </si>
  <si>
    <t>Lagos Construction Cost Analysis 2024</t>
  </si>
  <si>
    <t xml:space="preserve">Total Budget (NGN) </t>
  </si>
  <si>
    <t>Total Actual (NGN)</t>
  </si>
  <si>
    <t>Total Variance (NGN)</t>
  </si>
  <si>
    <t>%Project Over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</si>
</sst>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mmmm yyyy"/>
    <numFmt numFmtId="166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3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Actual Spend Trend —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Pivot_Tables!$B$30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Pivot_Tables!$A$31:$A$42</c:f>
            </c:strRef>
          </c:cat>
          <c:val>
            <c:numRef>
              <c:f>Pivot_Tables!$B$31:$B$42</c:f>
              <c:numCache/>
            </c:numRef>
          </c:val>
          <c:smooth val="0"/>
        </c:ser>
        <c:axId val="793719347"/>
        <c:axId val="2134827796"/>
      </c:lineChart>
      <c:catAx>
        <c:axId val="793719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827796"/>
      </c:catAx>
      <c:valAx>
        <c:axId val="2134827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(NGN Millions)</a:t>
                </a:r>
              </a:p>
            </c:rich>
          </c:tx>
          <c:overlay val="0"/>
        </c:title>
        <c:numFmt formatCode="0.0,,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719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Variance_NGN vs Project_Name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Pivot_Tables!$A$9:$A$13</c:f>
            </c:strRef>
          </c:cat>
          <c:val>
            <c:numRef>
              <c:f>Pivot_Tables!$B$9:$B$13</c:f>
              <c:numCache/>
            </c:numRef>
          </c:val>
        </c:ser>
        <c:axId val="1991480922"/>
        <c:axId val="889892275"/>
      </c:barChart>
      <c:catAx>
        <c:axId val="19914809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Project_Name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892275"/>
      </c:catAx>
      <c:valAx>
        <c:axId val="8898922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Variance_NGN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4809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Budgeted vs Actual Cost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Pivot_Tables!$A$2:$A$5</c:f>
            </c:strRef>
          </c:cat>
          <c:val>
            <c:numRef>
              <c:f>Pivot_Tables!$B$2:$B$5</c:f>
              <c:numCache/>
            </c:numRef>
          </c:val>
        </c:ser>
        <c:ser>
          <c:idx val="1"/>
          <c:order val="1"/>
          <c:tx>
            <c:strRef>
              <c:f>Pivot_Tables!$C$1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Pivot_Tables!$A$2:$A$5</c:f>
            </c:strRef>
          </c:cat>
          <c:val>
            <c:numRef>
              <c:f>Pivot_Tables!$C$2:$C$5</c:f>
              <c:numCache/>
            </c:numRef>
          </c:val>
        </c:ser>
        <c:axId val="2061583960"/>
        <c:axId val="465596398"/>
      </c:barChart>
      <c:catAx>
        <c:axId val="2061583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596398"/>
      </c:catAx>
      <c:valAx>
        <c:axId val="465596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Values ( NGN millions)</a:t>
                </a:r>
              </a:p>
            </c:rich>
          </c:tx>
          <c:overlay val="0"/>
        </c:title>
        <c:numFmt formatCode="0.0,,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583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Actual Spend Trend —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Pivot_Tables!$B$30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Pivot_Tables!$A$31:$A$42</c:f>
            </c:strRef>
          </c:cat>
          <c:val>
            <c:numRef>
              <c:f>Pivot_Tables!$B$31:$B$42</c:f>
              <c:numCache/>
            </c:numRef>
          </c:val>
          <c:smooth val="0"/>
        </c:ser>
        <c:axId val="519893209"/>
        <c:axId val="833572466"/>
      </c:lineChart>
      <c:catAx>
        <c:axId val="519893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572466"/>
      </c:catAx>
      <c:valAx>
        <c:axId val="833572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(NGN Millions)</a:t>
                </a:r>
              </a:p>
            </c:rich>
          </c:tx>
          <c:overlay val="0"/>
        </c:title>
        <c:numFmt formatCode="0.0,,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893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Actual Spend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Pivot_Tables!$C$1</c:f>
            </c:strRef>
          </c:tx>
          <c:dPt>
            <c:idx val="0"/>
            <c:spPr>
              <a:solidFill>
                <a:srgbClr val="3C78D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1C232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Pivot_Tables!$A$2:$A$4</c:f>
            </c:strRef>
          </c:cat>
          <c:val>
            <c:numRef>
              <c:f>Pivot_Tables!$C$2:$C$4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Top 5 Projects by Cost Overrun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Pivot_Tables!$B$8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Pivot_Tables!$A$9:$A$13</c:f>
            </c:strRef>
          </c:cat>
          <c:val>
            <c:numRef>
              <c:f>Pivot_Tables!$B$9:$B$13</c:f>
              <c:numCache/>
            </c:numRef>
          </c:val>
        </c:ser>
        <c:axId val="2017902587"/>
        <c:axId val="919467228"/>
      </c:barChart>
      <c:catAx>
        <c:axId val="20179025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Project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467228"/>
      </c:catAx>
      <c:valAx>
        <c:axId val="9194672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Variance (NGN Million)</a:t>
                </a:r>
              </a:p>
            </c:rich>
          </c:tx>
          <c:overlay val="0"/>
        </c:title>
        <c:numFmt formatCode="0.0,,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9025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20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295275</xdr:colOff>
      <xdr:row>2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</xdr:rowOff>
    </xdr:from>
    <xdr:ext cx="4095750" cy="2543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209550</xdr:colOff>
      <xdr:row>5</xdr:row>
      <xdr:rowOff>19050</xdr:rowOff>
    </xdr:from>
    <xdr:ext cx="4095750" cy="2543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9525</xdr:rowOff>
    </xdr:from>
    <xdr:ext cx="4095750" cy="2543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209550</xdr:colOff>
      <xdr:row>20</xdr:row>
      <xdr:rowOff>9525</xdr:rowOff>
    </xdr:from>
    <xdr:ext cx="4095750" cy="2543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2" sheet="Cleaned_data"/>
  </cacheSource>
  <cacheFields>
    <cacheField name="Project_ID" numFmtId="0">
      <sharedItems>
        <s v="PRJ-001"/>
        <s v="PRJ-002"/>
        <s v="PRJ-003"/>
        <s v="PRJ-004"/>
        <s v="PRJ-005"/>
        <s v="PRJ-006"/>
        <s v="PRJ-007"/>
        <s v="PRJ-008"/>
        <s v="PRJ-009"/>
        <s v="PRJ-010"/>
        <s v="PRJ-011"/>
        <s v="PRJ-012"/>
        <s v="PRJ-013"/>
        <s v="PRJ-014"/>
        <s v="PRJ-015"/>
        <s v="PRJ-016"/>
        <s v="PRJ-017"/>
      </sharedItems>
    </cacheField>
    <cacheField name="Project_Name" numFmtId="0">
      <sharedItems>
        <s v="Lekki Primary School Block A"/>
        <s v="Surulere Health Centre Renovation"/>
        <s v="Ikeja Road Drainage Rehabilitation"/>
        <s v="Yaba Community Hall Extension"/>
        <s v="Apapa Staff Quarters Block B"/>
        <s v="Mushin Market Redevelopment"/>
        <s v="Gbagada Secondary School Library"/>
        <s v="Ojota Pedestrian Bridge"/>
        <s v="Badagry Waterfront Promenade"/>
        <s v="Ikorodu Bus Terminal Phase 2"/>
        <s v="Victoria Island Office Complex"/>
        <s v="Agege Primary School Classrooms"/>
        <s v="Epe Resort Access Road"/>
        <s v="Ajah Affordable Housing Block C"/>
        <s v="Oshodi Transport Interchange"/>
        <s v="Shomolu Staff Clinic"/>
        <s v="Alimosho Model School"/>
      </sharedItems>
    </cacheField>
    <cacheField name="Category" numFmtId="0">
      <sharedItems>
        <s v="Materials"/>
        <s v="Labour"/>
        <s v="Equipment"/>
      </sharedItems>
    </cacheField>
    <cacheField name="Item_Description" numFmtId="0">
      <sharedItems>
        <s v="Cement and concrete works"/>
        <s v="Concrete gang - foundation"/>
        <s v="Concrete mixer hire"/>
        <s v="Roofing sheets and trusses"/>
        <s v="Carpentry and roofing"/>
        <s v="Scaffolding hire"/>
        <s v="Precast drain channels"/>
        <s v="Excavation and laying"/>
        <s v="Excavator hire"/>
        <s v="Blocks and mortar"/>
        <s v="Block laying gang"/>
        <s v="Steel reinforcement"/>
        <s v="Electrical fittings and wiring"/>
        <s v="Electrical installation"/>
        <s v="Plumbing pipes and fittings"/>
        <s v="Concrete gang - slabs"/>
        <s v="Tower crane hire"/>
        <s v="Roofing and ceiling"/>
        <s v="Finishing and painting"/>
        <s v="Doors and windows"/>
        <s v="Steel fabrication"/>
        <s v="Steel erection"/>
        <s v="Mobile crane hire"/>
        <s v="Interlocking paving"/>
        <s v="Paving gang"/>
        <s v="Lighting fixtures"/>
        <s v="Concrete pavement"/>
        <s v="Earthworks and compaction"/>
        <s v="Compactor and grader hire"/>
        <s v="Curtain wall glazing"/>
        <s v="Glazing installation"/>
        <s v="Floor tiling - marble"/>
        <s v="Block laying and plastering"/>
        <s v="Roofing sheets"/>
        <s v="Asphalt and base course"/>
        <s v="Asphalt laying gang"/>
        <s v="Asphalt paver hire"/>
        <s v="Concrete frame works"/>
        <s v="Formwork and concrete"/>
        <s v="Electrical and mechanical"/>
        <s v="Structural steel"/>
        <s v="Structural steel erection"/>
        <s v="Heavy crane and rigging"/>
        <s v="Block work and plaster"/>
        <s v="Masonry gang"/>
        <s v="Ceramic floor tiles"/>
        <s v="Tiling and screeding"/>
        <s v="Painting and surface prep"/>
      </sharedItems>
    </cacheField>
    <cacheField name="Budgeted_Cost_NGN" numFmtId="0">
      <sharedItems containsSemiMixedTypes="0" containsString="0" containsNumber="1" containsInteger="1">
        <n v="2500000.0"/>
        <n v="1800000.0"/>
        <n v="450000.0"/>
        <n v="3200000.0"/>
        <n v="2100000.0"/>
        <n v="600000.0"/>
        <n v="5500000.0"/>
        <n v="3800000.0"/>
        <n v="1200000.0"/>
        <n v="1900000.0"/>
        <n v="1400000.0"/>
        <n v="2200000.0"/>
        <n v="1600000.0"/>
        <n v="1100000.0"/>
        <n v="980000.0"/>
        <n v="4800000.0"/>
        <n v="2700000.0"/>
        <n v="1500000.0"/>
        <n v="8500000.0"/>
        <n v="4200000.0"/>
        <n v="3600000.0"/>
        <n v="2000000.0"/>
        <n v="6200000.0"/>
        <n v="3500000.0"/>
        <n v="1.2E7"/>
        <n v="4500000.0"/>
        <n v="5800000.0"/>
        <n v="1700000.0"/>
        <n v="1300000.0"/>
        <n v="9500000.0"/>
        <n v="7200000.0"/>
        <n v="4100000.0"/>
        <n v="3300000.0"/>
        <n v="1.1E7"/>
        <n v="3000000.0"/>
        <n v="1350000.0"/>
        <n v="900000.0"/>
      </sharedItems>
    </cacheField>
    <cacheField name="Actual_Cost_NGN" numFmtId="0">
      <sharedItems containsSemiMixedTypes="0" containsString="0" containsNumber="1" containsInteger="1">
        <n v="2870000.0"/>
        <n v="1950000.0"/>
        <n v="450000.0"/>
        <n v="3100000.0"/>
        <n v="2350000.0"/>
        <n v="600000.0"/>
        <n v="6200000.0"/>
        <n v="4100000.0"/>
        <n v="1350000.0"/>
        <n v="1850000.0"/>
        <n v="1400000.0"/>
        <n v="2480000.0"/>
        <n v="1590000.0"/>
        <n v="1250000.0"/>
        <n v="1040000.0"/>
        <n v="5100000.0"/>
        <n v="3200000.0"/>
        <n v="2750000.0"/>
        <n v="2650000.0"/>
        <n v="1680000.0"/>
        <n v="1920000.0"/>
        <n v="9200000.0"/>
        <n v="4500000.0"/>
        <n v="1800000.0"/>
        <n v="3450000.0"/>
        <n v="2050000.0"/>
        <n v="6800000.0"/>
        <n v="3700000.0"/>
        <n v="1500000.0"/>
        <n v="1.35E7"/>
        <n v="4800000.0"/>
        <n v="5650000.0"/>
        <n v="1700000.0"/>
        <n v="1420000.0"/>
        <n v="1380000.0"/>
        <n v="1.02E7"/>
        <n v="2200000.0"/>
        <n v="7050000.0"/>
        <n v="4350000.0"/>
        <n v="3480000.0"/>
        <n v="1.18E7"/>
        <n v="5900000.0"/>
        <n v="3000000.0"/>
        <n v="1550000.0"/>
        <n v="1180000.0"/>
        <n v="2080000.0"/>
        <n v="970000.0"/>
      </sharedItems>
    </cacheField>
    <cacheField name="Month" numFmtId="164">
      <sharedItems containsSemiMixedTypes="0" containsDate="1" containsString="0">
        <d v="2024-01-01T00:00:00Z"/>
        <d v="2024-02-01T00:00:00Z"/>
        <d v="2024-03-01T00:00:00Z"/>
        <d v="2024-04-01T00:00:00Z"/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</sharedItems>
    </cacheField>
    <cacheField name="Project_Phase" numFmtId="0">
      <sharedItems>
        <s v="Foundation"/>
        <s v="Superstructure"/>
        <s v="Finishing"/>
      </sharedItems>
    </cacheField>
    <cacheField name="Variance_NGN" numFmtId="0">
      <sharedItems containsSemiMixedTypes="0" containsString="0" containsNumber="1" containsInteger="1">
        <n v="370000.0"/>
        <n v="150000.0"/>
        <n v="0.0"/>
        <n v="-100000.0"/>
        <n v="250000.0"/>
        <n v="700000.0"/>
        <n v="300000.0"/>
        <n v="-50000.0"/>
        <n v="280000.0"/>
        <n v="-10000.0"/>
        <n v="60000.0"/>
        <n v="180000.0"/>
        <n v="120000.0"/>
        <n v="-150000.0"/>
        <n v="50000.0"/>
        <n v="600000.0"/>
        <n v="200000.0"/>
        <n v="1500000.0"/>
        <n v="-20000.0"/>
        <n v="800000.0"/>
        <n v="400000.0"/>
        <n v="80000.0"/>
        <n v="70000.0"/>
        <n v="100000.0"/>
      </sharedItems>
    </cacheField>
    <cacheField name="Variance_Pct" numFmtId="166">
      <sharedItems containsSemiMixedTypes="0" containsString="0" containsNumber="1">
        <n v="14.799999999999999"/>
        <n v="8.333333333333332"/>
        <n v="0.0"/>
        <n v="-3.125"/>
        <n v="11.904761904761903"/>
        <n v="12.727272727272727"/>
        <n v="7.894736842105263"/>
        <n v="12.5"/>
        <n v="-2.631578947368421"/>
        <n v="-0.625"/>
        <n v="13.636363636363635"/>
        <n v="6.122448979591836"/>
        <n v="6.25"/>
        <n v="10.0"/>
        <n v="-1.8518518518518516"/>
        <n v="12.0"/>
        <n v="6.666666666666667"/>
        <n v="8.235294117647058"/>
        <n v="7.142857142857142"/>
        <n v="-4.166666666666666"/>
        <n v="2.5"/>
        <n v="9.67741935483871"/>
        <n v="5.714285714285714"/>
        <n v="-2.586206896551724"/>
        <n v="9.230769230769232"/>
        <n v="-1.4285714285714286"/>
        <n v="7.368421052631578"/>
        <n v="-2.083333333333333"/>
        <n v="6.097560975609756"/>
        <n v="5.454545454545454"/>
        <n v="7.2727272727272725"/>
        <n v="5.185185185185185"/>
        <n v="-0.9523809523809524"/>
        <n v="7.777777777777778"/>
      </sharedItems>
    </cacheField>
    <cacheField name="Budget_status" numFmtId="0">
      <sharedItems>
        <s v="Over Budget"/>
        <s v="Under Budg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C5" firstHeaderRow="0" firstDataRow="2" firstDataCol="0"/>
  <pivotFields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axis="axisRow" compact="0" outline="0" multipleItemSelectionAllowed="1" showAll="0" sortType="ascending">
      <items>
        <item x="2"/>
        <item x="1"/>
        <item x="0"/>
        <item t="default"/>
      </items>
    </pivotField>
    <pivotField name="Item_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udgeted_Cost_NG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ctual_Cost_NG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_Phase" compact="0" outline="0" multipleItemSelectionAllowed="1" showAll="0">
      <items>
        <item x="0"/>
        <item x="1"/>
        <item x="2"/>
        <item t="default"/>
      </items>
    </pivotField>
    <pivotField name="Variance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riance_Pc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udget_statu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SUM of Budgeted_Cost_NGN" fld="4" baseField="0"/>
    <dataField name="SUM of Actual_Cost_NGN" fld="5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A8:B26" firstHeaderRow="0" firstDataRow="1" firstDataCol="0"/>
  <pivotFields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je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tem_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udgeted_Cost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ctual_Cost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_Phase" compact="0" outline="0" multipleItemSelectionAllowed="1" showAll="0">
      <items>
        <item x="0"/>
        <item x="1"/>
        <item x="2"/>
        <item t="default"/>
      </items>
    </pivotField>
    <pivotField name="Variance_NG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riance_Pc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udget_status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Variance_NGN" fld="8" baseField="0"/>
  </dataFields>
</pivotTableDefinition>
</file>

<file path=xl/pivotTables/pivotTable3.xml><?xml version="1.0" encoding="utf-8"?>
<pivotTableDefinition xmlns="http://schemas.openxmlformats.org/spreadsheetml/2006/main" name="Pivot_Tables 3" cacheId="0" dataCaption="" compact="0" compactData="0">
  <location ref="A30:B43" firstHeaderRow="0" firstDataRow="1" firstDataCol="0"/>
  <pivotFields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tem_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udgeted_Cost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ctual_Cost_NG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_Phase" compact="0" outline="0" multipleItemSelectionAllowed="1" showAll="0">
      <items>
        <item x="0"/>
        <item x="1"/>
        <item x="2"/>
        <item t="default"/>
      </items>
    </pivotField>
    <pivotField name="Variance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riance_Pc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udget_status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SUM of Actual_Cost_NGN" fld="5" baseField="0"/>
  </dataFields>
</pivotTableDefinition>
</file>

<file path=xl/pivotTables/pivotTable4.xml><?xml version="1.0" encoding="utf-8"?>
<pivotTableDefinition xmlns="http://schemas.openxmlformats.org/spreadsheetml/2006/main" name="Pivot_Tables 4" cacheId="0" dataCaption="" compact="0" compactData="0">
  <location ref="A46:D51" firstHeaderRow="0" firstDataRow="1" firstDataCol="1"/>
  <pivotFields>
    <pivotField name="Projec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tem_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Budgeted_Cost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ctual_Cost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ject_Phase" axis="axisRow" compact="0" outline="0" multipleItemSelectionAllowed="1" showAll="0" sortType="ascending">
      <items>
        <item x="2"/>
        <item x="0"/>
        <item x="1"/>
        <item t="default"/>
      </items>
    </pivotField>
    <pivotField name="Variance_N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riance_Pc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Budget_status" axis="axisCol" compact="0" outline="0" multipleItemSelectionAllowed="1" showAll="0" sortType="ascending">
      <items>
        <item x="0"/>
        <item x="1"/>
        <item t="default"/>
      </items>
    </pivotField>
  </pivotFields>
  <rowFields>
    <field x="7"/>
  </rowFields>
  <colFields>
    <field x="10"/>
  </colFields>
  <dataFields>
    <dataField name="COUNTA of Projec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2500000.0</v>
      </c>
      <c r="F2" s="1">
        <v>2870000.0</v>
      </c>
      <c r="G2" s="2">
        <v>45292.0</v>
      </c>
      <c r="H2" s="1" t="s">
        <v>12</v>
      </c>
    </row>
    <row r="3">
      <c r="A3" s="1" t="s">
        <v>8</v>
      </c>
      <c r="B3" s="1" t="s">
        <v>9</v>
      </c>
      <c r="C3" s="1" t="s">
        <v>13</v>
      </c>
      <c r="D3" s="1" t="s">
        <v>14</v>
      </c>
      <c r="E3" s="1">
        <v>1800000.0</v>
      </c>
      <c r="F3" s="1">
        <v>1950000.0</v>
      </c>
      <c r="G3" s="2">
        <v>45292.0</v>
      </c>
      <c r="H3" s="1" t="s">
        <v>12</v>
      </c>
    </row>
    <row r="4">
      <c r="A4" s="1" t="s">
        <v>8</v>
      </c>
      <c r="B4" s="1" t="s">
        <v>9</v>
      </c>
      <c r="C4" s="1" t="s">
        <v>15</v>
      </c>
      <c r="D4" s="1" t="s">
        <v>16</v>
      </c>
      <c r="E4" s="1">
        <v>450000.0</v>
      </c>
      <c r="F4" s="1">
        <v>450000.0</v>
      </c>
      <c r="G4" s="2">
        <v>45292.0</v>
      </c>
      <c r="H4" s="1" t="s">
        <v>12</v>
      </c>
    </row>
    <row r="5">
      <c r="A5" s="1" t="s">
        <v>17</v>
      </c>
      <c r="B5" s="1" t="s">
        <v>18</v>
      </c>
      <c r="C5" s="1" t="s">
        <v>10</v>
      </c>
      <c r="D5" s="1" t="s">
        <v>19</v>
      </c>
      <c r="E5" s="1">
        <v>3200000.0</v>
      </c>
      <c r="F5" s="1">
        <v>3100000.0</v>
      </c>
      <c r="G5" s="2">
        <v>45323.0</v>
      </c>
      <c r="H5" s="1" t="s">
        <v>20</v>
      </c>
    </row>
    <row r="6">
      <c r="A6" s="1" t="s">
        <v>17</v>
      </c>
      <c r="B6" s="1" t="s">
        <v>18</v>
      </c>
      <c r="C6" s="1" t="s">
        <v>13</v>
      </c>
      <c r="D6" s="1" t="s">
        <v>21</v>
      </c>
      <c r="E6" s="1">
        <v>2100000.0</v>
      </c>
      <c r="F6" s="1">
        <v>2350000.0</v>
      </c>
      <c r="G6" s="2">
        <v>45323.0</v>
      </c>
      <c r="H6" s="1" t="s">
        <v>20</v>
      </c>
    </row>
    <row r="7">
      <c r="A7" s="1" t="s">
        <v>17</v>
      </c>
      <c r="B7" s="1" t="s">
        <v>18</v>
      </c>
      <c r="C7" s="1" t="s">
        <v>15</v>
      </c>
      <c r="D7" s="1" t="s">
        <v>22</v>
      </c>
      <c r="E7" s="1">
        <v>600000.0</v>
      </c>
      <c r="F7" s="1">
        <v>600000.0</v>
      </c>
      <c r="G7" s="2">
        <v>45323.0</v>
      </c>
      <c r="H7" s="1" t="s">
        <v>20</v>
      </c>
    </row>
    <row r="8">
      <c r="A8" s="1" t="s">
        <v>23</v>
      </c>
      <c r="B8" s="1" t="s">
        <v>24</v>
      </c>
      <c r="C8" s="1" t="s">
        <v>10</v>
      </c>
      <c r="D8" s="1" t="s">
        <v>25</v>
      </c>
      <c r="E8" s="1">
        <v>5500000.0</v>
      </c>
      <c r="F8" s="1">
        <v>6200000.0</v>
      </c>
      <c r="G8" s="2">
        <v>45323.0</v>
      </c>
      <c r="H8" s="1" t="s">
        <v>12</v>
      </c>
    </row>
    <row r="9">
      <c r="A9" s="1" t="s">
        <v>23</v>
      </c>
      <c r="B9" s="1" t="s">
        <v>24</v>
      </c>
      <c r="C9" s="1" t="s">
        <v>13</v>
      </c>
      <c r="D9" s="1" t="s">
        <v>26</v>
      </c>
      <c r="E9" s="1">
        <v>3800000.0</v>
      </c>
      <c r="F9" s="1">
        <v>4100000.0</v>
      </c>
      <c r="G9" s="2">
        <v>45352.0</v>
      </c>
      <c r="H9" s="1" t="s">
        <v>12</v>
      </c>
    </row>
    <row r="10">
      <c r="A10" s="1" t="s">
        <v>23</v>
      </c>
      <c r="B10" s="1" t="s">
        <v>24</v>
      </c>
      <c r="C10" s="1" t="s">
        <v>15</v>
      </c>
      <c r="D10" s="1" t="s">
        <v>27</v>
      </c>
      <c r="E10" s="1">
        <v>1200000.0</v>
      </c>
      <c r="F10" s="1">
        <v>1350000.0</v>
      </c>
      <c r="G10" s="2">
        <v>45352.0</v>
      </c>
      <c r="H10" s="1" t="s">
        <v>12</v>
      </c>
    </row>
    <row r="11">
      <c r="A11" s="1" t="s">
        <v>28</v>
      </c>
      <c r="B11" s="1" t="s">
        <v>29</v>
      </c>
      <c r="C11" s="1" t="s">
        <v>10</v>
      </c>
      <c r="D11" s="1" t="s">
        <v>30</v>
      </c>
      <c r="E11" s="1">
        <v>1900000.0</v>
      </c>
      <c r="F11" s="1">
        <v>1850000.0</v>
      </c>
      <c r="G11" s="2">
        <v>45352.0</v>
      </c>
      <c r="H11" s="1" t="s">
        <v>20</v>
      </c>
    </row>
    <row r="12">
      <c r="A12" s="1" t="s">
        <v>28</v>
      </c>
      <c r="B12" s="1" t="s">
        <v>29</v>
      </c>
      <c r="C12" s="1" t="s">
        <v>13</v>
      </c>
      <c r="D12" s="1" t="s">
        <v>31</v>
      </c>
      <c r="E12" s="1">
        <v>1400000.0</v>
      </c>
      <c r="F12" s="1">
        <v>1400000.0</v>
      </c>
      <c r="G12" s="2">
        <v>45352.0</v>
      </c>
      <c r="H12" s="1" t="s">
        <v>20</v>
      </c>
    </row>
    <row r="13">
      <c r="A13" s="1" t="s">
        <v>28</v>
      </c>
      <c r="B13" s="1" t="s">
        <v>29</v>
      </c>
      <c r="C13" s="1" t="s">
        <v>10</v>
      </c>
      <c r="D13" s="1" t="s">
        <v>32</v>
      </c>
      <c r="E13" s="1">
        <v>2200000.0</v>
      </c>
      <c r="F13" s="1">
        <v>2480000.0</v>
      </c>
      <c r="G13" s="2">
        <v>45383.0</v>
      </c>
      <c r="H13" s="1" t="s">
        <v>20</v>
      </c>
    </row>
    <row r="14">
      <c r="A14" s="1" t="s">
        <v>33</v>
      </c>
      <c r="B14" s="1" t="s">
        <v>34</v>
      </c>
      <c r="C14" s="1" t="s">
        <v>10</v>
      </c>
      <c r="D14" s="1" t="s">
        <v>35</v>
      </c>
      <c r="E14" s="1">
        <v>1600000.0</v>
      </c>
      <c r="F14" s="1">
        <v>1590000.0</v>
      </c>
      <c r="G14" s="2">
        <v>45383.0</v>
      </c>
      <c r="H14" s="1" t="s">
        <v>36</v>
      </c>
    </row>
    <row r="15">
      <c r="A15" s="1" t="s">
        <v>33</v>
      </c>
      <c r="B15" s="1" t="s">
        <v>34</v>
      </c>
      <c r="C15" s="1" t="s">
        <v>13</v>
      </c>
      <c r="D15" s="1" t="s">
        <v>37</v>
      </c>
      <c r="E15" s="1">
        <v>1100000.0</v>
      </c>
      <c r="F15" s="1">
        <v>1250000.0</v>
      </c>
      <c r="G15" s="2">
        <v>45383.0</v>
      </c>
      <c r="H15" s="1" t="s">
        <v>36</v>
      </c>
    </row>
    <row r="16">
      <c r="A16" s="1" t="s">
        <v>33</v>
      </c>
      <c r="B16" s="1" t="s">
        <v>34</v>
      </c>
      <c r="C16" s="1" t="s">
        <v>10</v>
      </c>
      <c r="D16" s="1" t="s">
        <v>38</v>
      </c>
      <c r="E16" s="1">
        <v>980000.0</v>
      </c>
      <c r="F16" s="1">
        <v>1040000.0</v>
      </c>
      <c r="G16" s="2">
        <v>45383.0</v>
      </c>
      <c r="H16" s="1" t="s">
        <v>36</v>
      </c>
    </row>
    <row r="17">
      <c r="A17" s="1" t="s">
        <v>39</v>
      </c>
      <c r="B17" s="1" t="s">
        <v>40</v>
      </c>
      <c r="C17" s="1" t="s">
        <v>10</v>
      </c>
      <c r="D17" s="1" t="s">
        <v>11</v>
      </c>
      <c r="E17" s="1">
        <v>4800000.0</v>
      </c>
      <c r="F17" s="1">
        <v>5100000.0</v>
      </c>
      <c r="G17" s="3">
        <v>45413.0</v>
      </c>
      <c r="H17" s="1" t="s">
        <v>12</v>
      </c>
    </row>
    <row r="18">
      <c r="A18" s="1" t="s">
        <v>39</v>
      </c>
      <c r="B18" s="1" t="s">
        <v>40</v>
      </c>
      <c r="C18" s="1" t="s">
        <v>13</v>
      </c>
      <c r="D18" s="1" t="s">
        <v>41</v>
      </c>
      <c r="E18" s="1">
        <v>3200000.0</v>
      </c>
      <c r="F18" s="1">
        <v>3200000.0</v>
      </c>
      <c r="G18" s="3">
        <v>45413.0</v>
      </c>
      <c r="H18" s="1" t="s">
        <v>12</v>
      </c>
    </row>
    <row r="19">
      <c r="A19" s="1" t="s">
        <v>39</v>
      </c>
      <c r="B19" s="1" t="s">
        <v>40</v>
      </c>
      <c r="C19" s="1" t="s">
        <v>15</v>
      </c>
      <c r="D19" s="1" t="s">
        <v>42</v>
      </c>
      <c r="E19" s="1">
        <v>2500000.0</v>
      </c>
      <c r="F19" s="1">
        <v>2750000.0</v>
      </c>
      <c r="G19" s="3">
        <v>45413.0</v>
      </c>
      <c r="H19" s="1" t="s">
        <v>20</v>
      </c>
    </row>
    <row r="20">
      <c r="A20" s="1" t="s">
        <v>43</v>
      </c>
      <c r="B20" s="1" t="s">
        <v>44</v>
      </c>
      <c r="C20" s="1" t="s">
        <v>10</v>
      </c>
      <c r="D20" s="1" t="s">
        <v>45</v>
      </c>
      <c r="E20" s="1">
        <v>2700000.0</v>
      </c>
      <c r="F20" s="1">
        <v>2650000.0</v>
      </c>
      <c r="G20" s="3">
        <v>45413.0</v>
      </c>
      <c r="H20" s="1" t="s">
        <v>36</v>
      </c>
    </row>
    <row r="21">
      <c r="A21" s="1" t="s">
        <v>43</v>
      </c>
      <c r="B21" s="1" t="s">
        <v>44</v>
      </c>
      <c r="C21" s="1" t="s">
        <v>13</v>
      </c>
      <c r="D21" s="1" t="s">
        <v>46</v>
      </c>
      <c r="E21" s="1">
        <v>1500000.0</v>
      </c>
      <c r="F21" s="1">
        <v>1680000.0</v>
      </c>
      <c r="G21" s="2">
        <v>45444.0</v>
      </c>
      <c r="H21" s="1" t="s">
        <v>36</v>
      </c>
    </row>
    <row r="22">
      <c r="A22" s="1" t="s">
        <v>43</v>
      </c>
      <c r="B22" s="1" t="s">
        <v>44</v>
      </c>
      <c r="C22" s="1" t="s">
        <v>10</v>
      </c>
      <c r="D22" s="1" t="s">
        <v>47</v>
      </c>
      <c r="E22" s="1">
        <v>1800000.0</v>
      </c>
      <c r="F22" s="1">
        <v>1920000.0</v>
      </c>
      <c r="G22" s="2">
        <v>45444.0</v>
      </c>
      <c r="H22" s="1" t="s">
        <v>36</v>
      </c>
    </row>
    <row r="23">
      <c r="A23" s="1" t="s">
        <v>48</v>
      </c>
      <c r="B23" s="1" t="s">
        <v>49</v>
      </c>
      <c r="C23" s="1" t="s">
        <v>10</v>
      </c>
      <c r="D23" s="1" t="s">
        <v>50</v>
      </c>
      <c r="E23" s="1">
        <v>8500000.0</v>
      </c>
      <c r="F23" s="1">
        <v>9200000.0</v>
      </c>
      <c r="G23" s="2">
        <v>45444.0</v>
      </c>
      <c r="H23" s="1" t="s">
        <v>20</v>
      </c>
    </row>
    <row r="24">
      <c r="A24" s="1" t="s">
        <v>48</v>
      </c>
      <c r="B24" s="1" t="s">
        <v>49</v>
      </c>
      <c r="C24" s="1" t="s">
        <v>13</v>
      </c>
      <c r="D24" s="1" t="s">
        <v>51</v>
      </c>
      <c r="E24" s="1">
        <v>4200000.0</v>
      </c>
      <c r="F24" s="1">
        <v>4500000.0</v>
      </c>
      <c r="G24" s="2">
        <v>45474.0</v>
      </c>
      <c r="H24" s="1" t="s">
        <v>20</v>
      </c>
    </row>
    <row r="25">
      <c r="A25" s="1" t="s">
        <v>48</v>
      </c>
      <c r="B25" s="1" t="s">
        <v>49</v>
      </c>
      <c r="C25" s="1" t="s">
        <v>15</v>
      </c>
      <c r="D25" s="1" t="s">
        <v>52</v>
      </c>
      <c r="E25" s="1">
        <v>1800000.0</v>
      </c>
      <c r="F25" s="1">
        <v>1800000.0</v>
      </c>
      <c r="G25" s="2">
        <v>45474.0</v>
      </c>
      <c r="H25" s="1" t="s">
        <v>20</v>
      </c>
    </row>
    <row r="26">
      <c r="A26" s="1" t="s">
        <v>53</v>
      </c>
      <c r="B26" s="1" t="s">
        <v>54</v>
      </c>
      <c r="C26" s="1" t="s">
        <v>10</v>
      </c>
      <c r="D26" s="1" t="s">
        <v>55</v>
      </c>
      <c r="E26" s="1">
        <v>3600000.0</v>
      </c>
      <c r="F26" s="1">
        <v>3450000.0</v>
      </c>
      <c r="G26" s="2">
        <v>45474.0</v>
      </c>
      <c r="H26" s="1" t="s">
        <v>36</v>
      </c>
    </row>
    <row r="27">
      <c r="A27" s="1" t="s">
        <v>53</v>
      </c>
      <c r="B27" s="1" t="s">
        <v>54</v>
      </c>
      <c r="C27" s="1" t="s">
        <v>13</v>
      </c>
      <c r="D27" s="1" t="s">
        <v>56</v>
      </c>
      <c r="E27" s="1">
        <v>2000000.0</v>
      </c>
      <c r="F27" s="1">
        <v>2050000.0</v>
      </c>
      <c r="G27" s="2">
        <v>45474.0</v>
      </c>
      <c r="H27" s="1" t="s">
        <v>36</v>
      </c>
    </row>
    <row r="28">
      <c r="A28" s="1" t="s">
        <v>53</v>
      </c>
      <c r="B28" s="1" t="s">
        <v>54</v>
      </c>
      <c r="C28" s="1" t="s">
        <v>10</v>
      </c>
      <c r="D28" s="1" t="s">
        <v>57</v>
      </c>
      <c r="E28" s="1">
        <v>1200000.0</v>
      </c>
      <c r="F28" s="1">
        <v>1350000.0</v>
      </c>
      <c r="G28" s="2">
        <v>45505.0</v>
      </c>
      <c r="H28" s="1" t="s">
        <v>36</v>
      </c>
    </row>
    <row r="29">
      <c r="A29" s="1" t="s">
        <v>58</v>
      </c>
      <c r="B29" s="1" t="s">
        <v>59</v>
      </c>
      <c r="C29" s="1" t="s">
        <v>10</v>
      </c>
      <c r="D29" s="1" t="s">
        <v>60</v>
      </c>
      <c r="E29" s="1">
        <v>6200000.0</v>
      </c>
      <c r="F29" s="1">
        <v>6800000.0</v>
      </c>
      <c r="G29" s="2">
        <v>45505.0</v>
      </c>
      <c r="H29" s="1" t="s">
        <v>12</v>
      </c>
    </row>
    <row r="30">
      <c r="A30" s="1" t="s">
        <v>58</v>
      </c>
      <c r="B30" s="1" t="s">
        <v>59</v>
      </c>
      <c r="C30" s="1" t="s">
        <v>13</v>
      </c>
      <c r="D30" s="1" t="s">
        <v>61</v>
      </c>
      <c r="E30" s="1">
        <v>3500000.0</v>
      </c>
      <c r="F30" s="1">
        <v>3700000.0</v>
      </c>
      <c r="G30" s="2">
        <v>45505.0</v>
      </c>
      <c r="H30" s="1" t="s">
        <v>12</v>
      </c>
    </row>
    <row r="31">
      <c r="A31" s="1" t="s">
        <v>58</v>
      </c>
      <c r="B31" s="1" t="s">
        <v>59</v>
      </c>
      <c r="C31" s="1" t="s">
        <v>15</v>
      </c>
      <c r="D31" s="1" t="s">
        <v>62</v>
      </c>
      <c r="E31" s="1">
        <v>1500000.0</v>
      </c>
      <c r="F31" s="1">
        <v>1500000.0</v>
      </c>
      <c r="G31" s="2">
        <v>45536.0</v>
      </c>
      <c r="H31" s="1" t="s">
        <v>12</v>
      </c>
    </row>
    <row r="32">
      <c r="A32" s="1" t="s">
        <v>63</v>
      </c>
      <c r="B32" s="1" t="s">
        <v>64</v>
      </c>
      <c r="C32" s="1" t="s">
        <v>10</v>
      </c>
      <c r="D32" s="1" t="s">
        <v>65</v>
      </c>
      <c r="E32" s="1">
        <v>1.2E7</v>
      </c>
      <c r="F32" s="1">
        <v>1.35E7</v>
      </c>
      <c r="G32" s="2">
        <v>45536.0</v>
      </c>
      <c r="H32" s="1" t="s">
        <v>36</v>
      </c>
    </row>
    <row r="33">
      <c r="A33" s="1" t="s">
        <v>63</v>
      </c>
      <c r="B33" s="1" t="s">
        <v>64</v>
      </c>
      <c r="C33" s="1" t="s">
        <v>13</v>
      </c>
      <c r="D33" s="1" t="s">
        <v>66</v>
      </c>
      <c r="E33" s="1">
        <v>4500000.0</v>
      </c>
      <c r="F33" s="1">
        <v>4800000.0</v>
      </c>
      <c r="G33" s="2">
        <v>45536.0</v>
      </c>
      <c r="H33" s="1" t="s">
        <v>36</v>
      </c>
    </row>
    <row r="34">
      <c r="A34" s="1" t="s">
        <v>63</v>
      </c>
      <c r="B34" s="1" t="s">
        <v>64</v>
      </c>
      <c r="C34" s="1" t="s">
        <v>10</v>
      </c>
      <c r="D34" s="1" t="s">
        <v>67</v>
      </c>
      <c r="E34" s="1">
        <v>5800000.0</v>
      </c>
      <c r="F34" s="1">
        <v>5650000.0</v>
      </c>
      <c r="G34" s="2">
        <v>45566.0</v>
      </c>
      <c r="H34" s="1" t="s">
        <v>36</v>
      </c>
    </row>
    <row r="35">
      <c r="A35" s="1" t="s">
        <v>68</v>
      </c>
      <c r="B35" s="1" t="s">
        <v>69</v>
      </c>
      <c r="C35" s="1" t="s">
        <v>10</v>
      </c>
      <c r="D35" s="1" t="s">
        <v>30</v>
      </c>
      <c r="E35" s="1">
        <v>1700000.0</v>
      </c>
      <c r="F35" s="1">
        <v>1700000.0</v>
      </c>
      <c r="G35" s="2">
        <v>45566.0</v>
      </c>
      <c r="H35" s="1" t="s">
        <v>20</v>
      </c>
    </row>
    <row r="36">
      <c r="A36" s="1" t="s">
        <v>68</v>
      </c>
      <c r="B36" s="1" t="s">
        <v>69</v>
      </c>
      <c r="C36" s="1" t="s">
        <v>13</v>
      </c>
      <c r="D36" s="1" t="s">
        <v>70</v>
      </c>
      <c r="E36" s="1">
        <v>1300000.0</v>
      </c>
      <c r="F36" s="1">
        <v>1420000.0</v>
      </c>
      <c r="G36" s="2">
        <v>45566.0</v>
      </c>
      <c r="H36" s="1" t="s">
        <v>20</v>
      </c>
    </row>
    <row r="37">
      <c r="A37" s="1" t="s">
        <v>68</v>
      </c>
      <c r="B37" s="1" t="s">
        <v>69</v>
      </c>
      <c r="C37" s="1" t="s">
        <v>10</v>
      </c>
      <c r="D37" s="1" t="s">
        <v>71</v>
      </c>
      <c r="E37" s="1">
        <v>1400000.0</v>
      </c>
      <c r="F37" s="1">
        <v>1380000.0</v>
      </c>
      <c r="G37" s="2">
        <v>45597.0</v>
      </c>
      <c r="H37" s="1" t="s">
        <v>20</v>
      </c>
    </row>
    <row r="38">
      <c r="A38" s="1" t="s">
        <v>72</v>
      </c>
      <c r="B38" s="1" t="s">
        <v>73</v>
      </c>
      <c r="C38" s="1" t="s">
        <v>10</v>
      </c>
      <c r="D38" s="1" t="s">
        <v>74</v>
      </c>
      <c r="E38" s="1">
        <v>9500000.0</v>
      </c>
      <c r="F38" s="1">
        <v>1.02E7</v>
      </c>
      <c r="G38" s="2">
        <v>45597.0</v>
      </c>
      <c r="H38" s="1" t="s">
        <v>20</v>
      </c>
    </row>
    <row r="39">
      <c r="A39" s="1" t="s">
        <v>72</v>
      </c>
      <c r="B39" s="1" t="s">
        <v>73</v>
      </c>
      <c r="C39" s="1" t="s">
        <v>13</v>
      </c>
      <c r="D39" s="1" t="s">
        <v>75</v>
      </c>
      <c r="E39" s="1">
        <v>4800000.0</v>
      </c>
      <c r="F39" s="1">
        <v>5100000.0</v>
      </c>
      <c r="G39" s="2">
        <v>45597.0</v>
      </c>
      <c r="H39" s="1" t="s">
        <v>20</v>
      </c>
    </row>
    <row r="40">
      <c r="A40" s="1" t="s">
        <v>72</v>
      </c>
      <c r="B40" s="1" t="s">
        <v>73</v>
      </c>
      <c r="C40" s="1" t="s">
        <v>15</v>
      </c>
      <c r="D40" s="1" t="s">
        <v>76</v>
      </c>
      <c r="E40" s="1">
        <v>2200000.0</v>
      </c>
      <c r="F40" s="1">
        <v>2200000.0</v>
      </c>
      <c r="G40" s="2">
        <v>45627.0</v>
      </c>
      <c r="H40" s="1" t="s">
        <v>20</v>
      </c>
    </row>
    <row r="41">
      <c r="A41" s="1" t="s">
        <v>77</v>
      </c>
      <c r="B41" s="1" t="s">
        <v>78</v>
      </c>
      <c r="C41" s="1" t="s">
        <v>10</v>
      </c>
      <c r="D41" s="1" t="s">
        <v>79</v>
      </c>
      <c r="E41" s="1">
        <v>7200000.0</v>
      </c>
      <c r="F41" s="1">
        <v>7050000.0</v>
      </c>
      <c r="G41" s="2">
        <v>45597.0</v>
      </c>
      <c r="H41" s="1" t="s">
        <v>20</v>
      </c>
    </row>
    <row r="42">
      <c r="A42" s="1" t="s">
        <v>77</v>
      </c>
      <c r="B42" s="1" t="s">
        <v>78</v>
      </c>
      <c r="C42" s="1" t="s">
        <v>13</v>
      </c>
      <c r="D42" s="1" t="s">
        <v>80</v>
      </c>
      <c r="E42" s="1">
        <v>4100000.0</v>
      </c>
      <c r="F42" s="1">
        <v>4350000.0</v>
      </c>
      <c r="G42" s="2">
        <v>45627.0</v>
      </c>
      <c r="H42" s="1" t="s">
        <v>20</v>
      </c>
    </row>
    <row r="43">
      <c r="A43" s="1" t="s">
        <v>77</v>
      </c>
      <c r="B43" s="1" t="s">
        <v>78</v>
      </c>
      <c r="C43" s="1" t="s">
        <v>10</v>
      </c>
      <c r="D43" s="1" t="s">
        <v>81</v>
      </c>
      <c r="E43" s="1">
        <v>3300000.0</v>
      </c>
      <c r="F43" s="1">
        <v>3480000.0</v>
      </c>
      <c r="G43" s="2">
        <v>45627.0</v>
      </c>
      <c r="H43" s="1" t="s">
        <v>36</v>
      </c>
    </row>
    <row r="44">
      <c r="A44" s="1" t="s">
        <v>82</v>
      </c>
      <c r="B44" s="1" t="s">
        <v>83</v>
      </c>
      <c r="C44" s="1" t="s">
        <v>10</v>
      </c>
      <c r="D44" s="1" t="s">
        <v>84</v>
      </c>
      <c r="E44" s="1">
        <v>1.1E7</v>
      </c>
      <c r="F44" s="1">
        <v>1.18E7</v>
      </c>
      <c r="G44" s="2">
        <v>45627.0</v>
      </c>
      <c r="H44" s="1" t="s">
        <v>20</v>
      </c>
    </row>
    <row r="45">
      <c r="A45" s="1" t="s">
        <v>82</v>
      </c>
      <c r="B45" s="1" t="s">
        <v>83</v>
      </c>
      <c r="C45" s="1" t="s">
        <v>13</v>
      </c>
      <c r="D45" s="1" t="s">
        <v>85</v>
      </c>
      <c r="E45" s="1">
        <v>5500000.0</v>
      </c>
      <c r="F45" s="1">
        <v>5900000.0</v>
      </c>
      <c r="G45" s="2">
        <v>45627.0</v>
      </c>
      <c r="H45" s="1" t="s">
        <v>20</v>
      </c>
    </row>
    <row r="46">
      <c r="A46" s="1" t="s">
        <v>82</v>
      </c>
      <c r="B46" s="1" t="s">
        <v>83</v>
      </c>
      <c r="C46" s="1" t="s">
        <v>15</v>
      </c>
      <c r="D46" s="1" t="s">
        <v>86</v>
      </c>
      <c r="E46" s="1">
        <v>3000000.0</v>
      </c>
      <c r="F46" s="1">
        <v>3000000.0</v>
      </c>
      <c r="G46" s="2">
        <v>45627.0</v>
      </c>
      <c r="H46" s="1" t="s">
        <v>20</v>
      </c>
    </row>
    <row r="47">
      <c r="A47" s="1" t="s">
        <v>87</v>
      </c>
      <c r="B47" s="1" t="s">
        <v>88</v>
      </c>
      <c r="C47" s="1" t="s">
        <v>10</v>
      </c>
      <c r="D47" s="1" t="s">
        <v>89</v>
      </c>
      <c r="E47" s="1">
        <v>1600000.0</v>
      </c>
      <c r="F47" s="1">
        <v>1550000.0</v>
      </c>
      <c r="G47" s="2">
        <v>45292.0</v>
      </c>
      <c r="H47" s="1" t="s">
        <v>20</v>
      </c>
    </row>
    <row r="48">
      <c r="A48" s="1" t="s">
        <v>87</v>
      </c>
      <c r="B48" s="1" t="s">
        <v>88</v>
      </c>
      <c r="C48" s="1" t="s">
        <v>13</v>
      </c>
      <c r="D48" s="1" t="s">
        <v>90</v>
      </c>
      <c r="E48" s="1">
        <v>1100000.0</v>
      </c>
      <c r="F48" s="1">
        <v>1180000.0</v>
      </c>
      <c r="G48" s="2">
        <v>45323.0</v>
      </c>
      <c r="H48" s="1" t="s">
        <v>20</v>
      </c>
    </row>
    <row r="49">
      <c r="A49" s="1" t="s">
        <v>87</v>
      </c>
      <c r="B49" s="1" t="s">
        <v>88</v>
      </c>
      <c r="C49" s="1" t="s">
        <v>10</v>
      </c>
      <c r="D49" s="1" t="s">
        <v>45</v>
      </c>
      <c r="E49" s="1">
        <v>1350000.0</v>
      </c>
      <c r="F49" s="1">
        <v>1420000.0</v>
      </c>
      <c r="G49" s="2">
        <v>45352.0</v>
      </c>
      <c r="H49" s="1" t="s">
        <v>36</v>
      </c>
    </row>
    <row r="50">
      <c r="A50" s="1" t="s">
        <v>91</v>
      </c>
      <c r="B50" s="1" t="s">
        <v>92</v>
      </c>
      <c r="C50" s="1" t="s">
        <v>10</v>
      </c>
      <c r="D50" s="1" t="s">
        <v>93</v>
      </c>
      <c r="E50" s="1">
        <v>2100000.0</v>
      </c>
      <c r="F50" s="1">
        <v>2080000.0</v>
      </c>
      <c r="G50" s="2">
        <v>45383.0</v>
      </c>
      <c r="H50" s="1" t="s">
        <v>36</v>
      </c>
    </row>
    <row r="51">
      <c r="A51" s="1" t="s">
        <v>91</v>
      </c>
      <c r="B51" s="1" t="s">
        <v>92</v>
      </c>
      <c r="C51" s="1" t="s">
        <v>13</v>
      </c>
      <c r="D51" s="1" t="s">
        <v>94</v>
      </c>
      <c r="E51" s="1">
        <v>1400000.0</v>
      </c>
      <c r="F51" s="1">
        <v>1500000.0</v>
      </c>
      <c r="G51" s="3">
        <v>45413.0</v>
      </c>
      <c r="H51" s="1" t="s">
        <v>36</v>
      </c>
    </row>
    <row r="52">
      <c r="A52" s="1" t="s">
        <v>91</v>
      </c>
      <c r="B52" s="1" t="s">
        <v>92</v>
      </c>
      <c r="C52" s="1" t="s">
        <v>10</v>
      </c>
      <c r="D52" s="1" t="s">
        <v>95</v>
      </c>
      <c r="E52" s="1">
        <v>900000.0</v>
      </c>
      <c r="F52" s="1">
        <v>970000.0</v>
      </c>
      <c r="G52" s="2">
        <v>45444.0</v>
      </c>
      <c r="H52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  <col customWidth="1" min="3" max="3" width="11.63"/>
    <col customWidth="1" min="4" max="4" width="22.75"/>
    <col customWidth="1" min="5" max="5" width="18.0"/>
    <col customWidth="1" min="6" max="6" width="15.3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96</v>
      </c>
      <c r="J1" s="4" t="s">
        <v>97</v>
      </c>
      <c r="K1" s="4" t="s">
        <v>98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2500000.0</v>
      </c>
      <c r="F2" s="1">
        <v>2870000.0</v>
      </c>
      <c r="G2" s="2">
        <v>45292.0</v>
      </c>
      <c r="H2" s="1" t="s">
        <v>12</v>
      </c>
      <c r="I2" s="6">
        <f t="shared" ref="I2:I52" si="1">F2-E2</f>
        <v>370000</v>
      </c>
      <c r="J2" s="7">
        <f t="shared" ref="J2:J52" si="2">I2/E2*100</f>
        <v>14.8</v>
      </c>
      <c r="K2" s="6" t="str">
        <f t="shared" ref="K2:K52" si="3">IF(I2&gt;0,"Over Budget","Under Budget")</f>
        <v>Over Budget</v>
      </c>
    </row>
    <row r="3">
      <c r="A3" s="1" t="s">
        <v>8</v>
      </c>
      <c r="B3" s="1" t="s">
        <v>9</v>
      </c>
      <c r="C3" s="1" t="s">
        <v>13</v>
      </c>
      <c r="D3" s="1" t="s">
        <v>14</v>
      </c>
      <c r="E3" s="1">
        <v>1800000.0</v>
      </c>
      <c r="F3" s="1">
        <v>1950000.0</v>
      </c>
      <c r="G3" s="2">
        <v>45292.0</v>
      </c>
      <c r="H3" s="1" t="s">
        <v>12</v>
      </c>
      <c r="I3" s="6">
        <f t="shared" si="1"/>
        <v>150000</v>
      </c>
      <c r="J3" s="7">
        <f t="shared" si="2"/>
        <v>8.333333333</v>
      </c>
      <c r="K3" s="8" t="str">
        <f t="shared" si="3"/>
        <v>Over Budget</v>
      </c>
    </row>
    <row r="4">
      <c r="A4" s="1" t="s">
        <v>8</v>
      </c>
      <c r="B4" s="1" t="s">
        <v>9</v>
      </c>
      <c r="C4" s="1" t="s">
        <v>15</v>
      </c>
      <c r="D4" s="1" t="s">
        <v>16</v>
      </c>
      <c r="E4" s="1">
        <v>450000.0</v>
      </c>
      <c r="F4" s="1">
        <v>450000.0</v>
      </c>
      <c r="G4" s="2">
        <v>45292.0</v>
      </c>
      <c r="H4" s="1" t="s">
        <v>12</v>
      </c>
      <c r="I4" s="6">
        <f t="shared" si="1"/>
        <v>0</v>
      </c>
      <c r="J4" s="7">
        <f t="shared" si="2"/>
        <v>0</v>
      </c>
      <c r="K4" s="6" t="str">
        <f t="shared" si="3"/>
        <v>Under Budget</v>
      </c>
    </row>
    <row r="5">
      <c r="A5" s="1" t="s">
        <v>17</v>
      </c>
      <c r="B5" s="1" t="s">
        <v>18</v>
      </c>
      <c r="C5" s="1" t="s">
        <v>10</v>
      </c>
      <c r="D5" s="1" t="s">
        <v>19</v>
      </c>
      <c r="E5" s="1">
        <v>3200000.0</v>
      </c>
      <c r="F5" s="1">
        <v>3100000.0</v>
      </c>
      <c r="G5" s="2">
        <v>45323.0</v>
      </c>
      <c r="H5" s="1" t="s">
        <v>20</v>
      </c>
      <c r="I5" s="6">
        <f t="shared" si="1"/>
        <v>-100000</v>
      </c>
      <c r="J5" s="7">
        <f t="shared" si="2"/>
        <v>-3.125</v>
      </c>
      <c r="K5" s="6" t="str">
        <f t="shared" si="3"/>
        <v>Under Budget</v>
      </c>
    </row>
    <row r="6">
      <c r="A6" s="1" t="s">
        <v>17</v>
      </c>
      <c r="B6" s="1" t="s">
        <v>18</v>
      </c>
      <c r="C6" s="1" t="s">
        <v>13</v>
      </c>
      <c r="D6" s="1" t="s">
        <v>21</v>
      </c>
      <c r="E6" s="1">
        <v>2100000.0</v>
      </c>
      <c r="F6" s="1">
        <v>2350000.0</v>
      </c>
      <c r="G6" s="2">
        <v>45323.0</v>
      </c>
      <c r="H6" s="1" t="s">
        <v>20</v>
      </c>
      <c r="I6" s="6">
        <f t="shared" si="1"/>
        <v>250000</v>
      </c>
      <c r="J6" s="7">
        <f t="shared" si="2"/>
        <v>11.9047619</v>
      </c>
      <c r="K6" s="6" t="str">
        <f t="shared" si="3"/>
        <v>Over Budget</v>
      </c>
    </row>
    <row r="7">
      <c r="A7" s="1" t="s">
        <v>17</v>
      </c>
      <c r="B7" s="1" t="s">
        <v>18</v>
      </c>
      <c r="C7" s="1" t="s">
        <v>15</v>
      </c>
      <c r="D7" s="1" t="s">
        <v>22</v>
      </c>
      <c r="E7" s="1">
        <v>600000.0</v>
      </c>
      <c r="F7" s="1">
        <v>600000.0</v>
      </c>
      <c r="G7" s="2">
        <v>45323.0</v>
      </c>
      <c r="H7" s="1" t="s">
        <v>20</v>
      </c>
      <c r="I7" s="6">
        <f t="shared" si="1"/>
        <v>0</v>
      </c>
      <c r="J7" s="7">
        <f t="shared" si="2"/>
        <v>0</v>
      </c>
      <c r="K7" s="6" t="str">
        <f t="shared" si="3"/>
        <v>Under Budget</v>
      </c>
    </row>
    <row r="8">
      <c r="A8" s="1" t="s">
        <v>23</v>
      </c>
      <c r="B8" s="1" t="s">
        <v>24</v>
      </c>
      <c r="C8" s="1" t="s">
        <v>10</v>
      </c>
      <c r="D8" s="1" t="s">
        <v>25</v>
      </c>
      <c r="E8" s="1">
        <v>5500000.0</v>
      </c>
      <c r="F8" s="1">
        <v>6200000.0</v>
      </c>
      <c r="G8" s="2">
        <v>45323.0</v>
      </c>
      <c r="H8" s="1" t="s">
        <v>12</v>
      </c>
      <c r="I8" s="6">
        <f t="shared" si="1"/>
        <v>700000</v>
      </c>
      <c r="J8" s="7">
        <f t="shared" si="2"/>
        <v>12.72727273</v>
      </c>
      <c r="K8" s="6" t="str">
        <f t="shared" si="3"/>
        <v>Over Budget</v>
      </c>
    </row>
    <row r="9">
      <c r="A9" s="1" t="s">
        <v>23</v>
      </c>
      <c r="B9" s="1" t="s">
        <v>24</v>
      </c>
      <c r="C9" s="1" t="s">
        <v>13</v>
      </c>
      <c r="D9" s="1" t="s">
        <v>26</v>
      </c>
      <c r="E9" s="1">
        <v>3800000.0</v>
      </c>
      <c r="F9" s="1">
        <v>4100000.0</v>
      </c>
      <c r="G9" s="2">
        <v>45352.0</v>
      </c>
      <c r="H9" s="1" t="s">
        <v>12</v>
      </c>
      <c r="I9" s="6">
        <f t="shared" si="1"/>
        <v>300000</v>
      </c>
      <c r="J9" s="7">
        <f t="shared" si="2"/>
        <v>7.894736842</v>
      </c>
      <c r="K9" s="6" t="str">
        <f t="shared" si="3"/>
        <v>Over Budget</v>
      </c>
    </row>
    <row r="10">
      <c r="A10" s="1" t="s">
        <v>23</v>
      </c>
      <c r="B10" s="1" t="s">
        <v>24</v>
      </c>
      <c r="C10" s="1" t="s">
        <v>15</v>
      </c>
      <c r="D10" s="1" t="s">
        <v>27</v>
      </c>
      <c r="E10" s="1">
        <v>1200000.0</v>
      </c>
      <c r="F10" s="1">
        <v>1350000.0</v>
      </c>
      <c r="G10" s="2">
        <v>45352.0</v>
      </c>
      <c r="H10" s="1" t="s">
        <v>12</v>
      </c>
      <c r="I10" s="6">
        <f t="shared" si="1"/>
        <v>150000</v>
      </c>
      <c r="J10" s="7">
        <f t="shared" si="2"/>
        <v>12.5</v>
      </c>
      <c r="K10" s="6" t="str">
        <f t="shared" si="3"/>
        <v>Over Budget</v>
      </c>
    </row>
    <row r="11">
      <c r="A11" s="1" t="s">
        <v>28</v>
      </c>
      <c r="B11" s="1" t="s">
        <v>29</v>
      </c>
      <c r="C11" s="1" t="s">
        <v>10</v>
      </c>
      <c r="D11" s="1" t="s">
        <v>30</v>
      </c>
      <c r="E11" s="1">
        <v>1900000.0</v>
      </c>
      <c r="F11" s="1">
        <v>1850000.0</v>
      </c>
      <c r="G11" s="2">
        <v>45352.0</v>
      </c>
      <c r="H11" s="1" t="s">
        <v>20</v>
      </c>
      <c r="I11" s="6">
        <f t="shared" si="1"/>
        <v>-50000</v>
      </c>
      <c r="J11" s="7">
        <f t="shared" si="2"/>
        <v>-2.631578947</v>
      </c>
      <c r="K11" s="6" t="str">
        <f t="shared" si="3"/>
        <v>Under Budget</v>
      </c>
    </row>
    <row r="12">
      <c r="A12" s="1" t="s">
        <v>28</v>
      </c>
      <c r="B12" s="1" t="s">
        <v>29</v>
      </c>
      <c r="C12" s="1" t="s">
        <v>13</v>
      </c>
      <c r="D12" s="1" t="s">
        <v>31</v>
      </c>
      <c r="E12" s="1">
        <v>1400000.0</v>
      </c>
      <c r="F12" s="1">
        <v>1400000.0</v>
      </c>
      <c r="G12" s="2">
        <v>45352.0</v>
      </c>
      <c r="H12" s="1" t="s">
        <v>20</v>
      </c>
      <c r="I12" s="6">
        <f t="shared" si="1"/>
        <v>0</v>
      </c>
      <c r="J12" s="7">
        <f t="shared" si="2"/>
        <v>0</v>
      </c>
      <c r="K12" s="6" t="str">
        <f t="shared" si="3"/>
        <v>Under Budget</v>
      </c>
    </row>
    <row r="13">
      <c r="A13" s="1" t="s">
        <v>28</v>
      </c>
      <c r="B13" s="1" t="s">
        <v>29</v>
      </c>
      <c r="C13" s="1" t="s">
        <v>10</v>
      </c>
      <c r="D13" s="1" t="s">
        <v>32</v>
      </c>
      <c r="E13" s="1">
        <v>2200000.0</v>
      </c>
      <c r="F13" s="1">
        <v>2480000.0</v>
      </c>
      <c r="G13" s="2">
        <v>45383.0</v>
      </c>
      <c r="H13" s="1" t="s">
        <v>20</v>
      </c>
      <c r="I13" s="6">
        <f t="shared" si="1"/>
        <v>280000</v>
      </c>
      <c r="J13" s="7">
        <f t="shared" si="2"/>
        <v>12.72727273</v>
      </c>
      <c r="K13" s="6" t="str">
        <f t="shared" si="3"/>
        <v>Over Budget</v>
      </c>
    </row>
    <row r="14">
      <c r="A14" s="1" t="s">
        <v>33</v>
      </c>
      <c r="B14" s="1" t="s">
        <v>34</v>
      </c>
      <c r="C14" s="1" t="s">
        <v>10</v>
      </c>
      <c r="D14" s="1" t="s">
        <v>35</v>
      </c>
      <c r="E14" s="1">
        <v>1600000.0</v>
      </c>
      <c r="F14" s="1">
        <v>1590000.0</v>
      </c>
      <c r="G14" s="2">
        <v>45383.0</v>
      </c>
      <c r="H14" s="1" t="s">
        <v>36</v>
      </c>
      <c r="I14" s="6">
        <f t="shared" si="1"/>
        <v>-10000</v>
      </c>
      <c r="J14" s="7">
        <f t="shared" si="2"/>
        <v>-0.625</v>
      </c>
      <c r="K14" s="6" t="str">
        <f t="shared" si="3"/>
        <v>Under Budget</v>
      </c>
    </row>
    <row r="15">
      <c r="A15" s="1" t="s">
        <v>33</v>
      </c>
      <c r="B15" s="1" t="s">
        <v>34</v>
      </c>
      <c r="C15" s="1" t="s">
        <v>13</v>
      </c>
      <c r="D15" s="1" t="s">
        <v>37</v>
      </c>
      <c r="E15" s="1">
        <v>1100000.0</v>
      </c>
      <c r="F15" s="1">
        <v>1250000.0</v>
      </c>
      <c r="G15" s="2">
        <v>45383.0</v>
      </c>
      <c r="H15" s="1" t="s">
        <v>36</v>
      </c>
      <c r="I15" s="6">
        <f t="shared" si="1"/>
        <v>150000</v>
      </c>
      <c r="J15" s="7">
        <f t="shared" si="2"/>
        <v>13.63636364</v>
      </c>
      <c r="K15" s="6" t="str">
        <f t="shared" si="3"/>
        <v>Over Budget</v>
      </c>
    </row>
    <row r="16">
      <c r="A16" s="1" t="s">
        <v>33</v>
      </c>
      <c r="B16" s="1" t="s">
        <v>34</v>
      </c>
      <c r="C16" s="1" t="s">
        <v>10</v>
      </c>
      <c r="D16" s="1" t="s">
        <v>38</v>
      </c>
      <c r="E16" s="1">
        <v>980000.0</v>
      </c>
      <c r="F16" s="1">
        <v>1040000.0</v>
      </c>
      <c r="G16" s="2">
        <v>45383.0</v>
      </c>
      <c r="H16" s="1" t="s">
        <v>36</v>
      </c>
      <c r="I16" s="6">
        <f t="shared" si="1"/>
        <v>60000</v>
      </c>
      <c r="J16" s="7">
        <f t="shared" si="2"/>
        <v>6.12244898</v>
      </c>
      <c r="K16" s="6" t="str">
        <f t="shared" si="3"/>
        <v>Over Budget</v>
      </c>
    </row>
    <row r="17">
      <c r="A17" s="1" t="s">
        <v>39</v>
      </c>
      <c r="B17" s="1" t="s">
        <v>40</v>
      </c>
      <c r="C17" s="1" t="s">
        <v>10</v>
      </c>
      <c r="D17" s="1" t="s">
        <v>11</v>
      </c>
      <c r="E17" s="1">
        <v>4800000.0</v>
      </c>
      <c r="F17" s="1">
        <v>5100000.0</v>
      </c>
      <c r="G17" s="3">
        <v>45413.0</v>
      </c>
      <c r="H17" s="1" t="s">
        <v>12</v>
      </c>
      <c r="I17" s="6">
        <f t="shared" si="1"/>
        <v>300000</v>
      </c>
      <c r="J17" s="7">
        <f t="shared" si="2"/>
        <v>6.25</v>
      </c>
      <c r="K17" s="6" t="str">
        <f t="shared" si="3"/>
        <v>Over Budget</v>
      </c>
    </row>
    <row r="18">
      <c r="A18" s="1" t="s">
        <v>39</v>
      </c>
      <c r="B18" s="1" t="s">
        <v>40</v>
      </c>
      <c r="C18" s="1" t="s">
        <v>13</v>
      </c>
      <c r="D18" s="1" t="s">
        <v>41</v>
      </c>
      <c r="E18" s="1">
        <v>3200000.0</v>
      </c>
      <c r="F18" s="1">
        <v>3200000.0</v>
      </c>
      <c r="G18" s="3">
        <v>45413.0</v>
      </c>
      <c r="H18" s="1" t="s">
        <v>12</v>
      </c>
      <c r="I18" s="6">
        <f t="shared" si="1"/>
        <v>0</v>
      </c>
      <c r="J18" s="7">
        <f t="shared" si="2"/>
        <v>0</v>
      </c>
      <c r="K18" s="6" t="str">
        <f t="shared" si="3"/>
        <v>Under Budget</v>
      </c>
    </row>
    <row r="19">
      <c r="A19" s="1" t="s">
        <v>39</v>
      </c>
      <c r="B19" s="1" t="s">
        <v>40</v>
      </c>
      <c r="C19" s="1" t="s">
        <v>15</v>
      </c>
      <c r="D19" s="1" t="s">
        <v>42</v>
      </c>
      <c r="E19" s="1">
        <v>2500000.0</v>
      </c>
      <c r="F19" s="1">
        <v>2750000.0</v>
      </c>
      <c r="G19" s="3">
        <v>45413.0</v>
      </c>
      <c r="H19" s="1" t="s">
        <v>20</v>
      </c>
      <c r="I19" s="6">
        <f t="shared" si="1"/>
        <v>250000</v>
      </c>
      <c r="J19" s="7">
        <f t="shared" si="2"/>
        <v>10</v>
      </c>
      <c r="K19" s="6" t="str">
        <f t="shared" si="3"/>
        <v>Over Budget</v>
      </c>
    </row>
    <row r="20">
      <c r="A20" s="1" t="s">
        <v>43</v>
      </c>
      <c r="B20" s="1" t="s">
        <v>44</v>
      </c>
      <c r="C20" s="1" t="s">
        <v>10</v>
      </c>
      <c r="D20" s="1" t="s">
        <v>45</v>
      </c>
      <c r="E20" s="1">
        <v>2700000.0</v>
      </c>
      <c r="F20" s="1">
        <v>2650000.0</v>
      </c>
      <c r="G20" s="3">
        <v>45413.0</v>
      </c>
      <c r="H20" s="1" t="s">
        <v>36</v>
      </c>
      <c r="I20" s="6">
        <f t="shared" si="1"/>
        <v>-50000</v>
      </c>
      <c r="J20" s="7">
        <f t="shared" si="2"/>
        <v>-1.851851852</v>
      </c>
      <c r="K20" s="6" t="str">
        <f t="shared" si="3"/>
        <v>Under Budget</v>
      </c>
    </row>
    <row r="21">
      <c r="A21" s="1" t="s">
        <v>43</v>
      </c>
      <c r="B21" s="1" t="s">
        <v>44</v>
      </c>
      <c r="C21" s="1" t="s">
        <v>13</v>
      </c>
      <c r="D21" s="1" t="s">
        <v>46</v>
      </c>
      <c r="E21" s="1">
        <v>1500000.0</v>
      </c>
      <c r="F21" s="1">
        <v>1680000.0</v>
      </c>
      <c r="G21" s="2">
        <v>45444.0</v>
      </c>
      <c r="H21" s="1" t="s">
        <v>36</v>
      </c>
      <c r="I21" s="6">
        <f t="shared" si="1"/>
        <v>180000</v>
      </c>
      <c r="J21" s="7">
        <f t="shared" si="2"/>
        <v>12</v>
      </c>
      <c r="K21" s="6" t="str">
        <f t="shared" si="3"/>
        <v>Over Budget</v>
      </c>
    </row>
    <row r="22">
      <c r="A22" s="1" t="s">
        <v>43</v>
      </c>
      <c r="B22" s="1" t="s">
        <v>44</v>
      </c>
      <c r="C22" s="1" t="s">
        <v>10</v>
      </c>
      <c r="D22" s="1" t="s">
        <v>47</v>
      </c>
      <c r="E22" s="1">
        <v>1800000.0</v>
      </c>
      <c r="F22" s="1">
        <v>1920000.0</v>
      </c>
      <c r="G22" s="2">
        <v>45444.0</v>
      </c>
      <c r="H22" s="1" t="s">
        <v>36</v>
      </c>
      <c r="I22" s="6">
        <f t="shared" si="1"/>
        <v>120000</v>
      </c>
      <c r="J22" s="7">
        <f t="shared" si="2"/>
        <v>6.666666667</v>
      </c>
      <c r="K22" s="6" t="str">
        <f t="shared" si="3"/>
        <v>Over Budget</v>
      </c>
    </row>
    <row r="23">
      <c r="A23" s="1" t="s">
        <v>48</v>
      </c>
      <c r="B23" s="1" t="s">
        <v>49</v>
      </c>
      <c r="C23" s="1" t="s">
        <v>10</v>
      </c>
      <c r="D23" s="1" t="s">
        <v>50</v>
      </c>
      <c r="E23" s="1">
        <v>8500000.0</v>
      </c>
      <c r="F23" s="1">
        <v>9200000.0</v>
      </c>
      <c r="G23" s="2">
        <v>45444.0</v>
      </c>
      <c r="H23" s="1" t="s">
        <v>20</v>
      </c>
      <c r="I23" s="6">
        <f t="shared" si="1"/>
        <v>700000</v>
      </c>
      <c r="J23" s="7">
        <f t="shared" si="2"/>
        <v>8.235294118</v>
      </c>
      <c r="K23" s="6" t="str">
        <f t="shared" si="3"/>
        <v>Over Budget</v>
      </c>
    </row>
    <row r="24">
      <c r="A24" s="1" t="s">
        <v>48</v>
      </c>
      <c r="B24" s="1" t="s">
        <v>49</v>
      </c>
      <c r="C24" s="1" t="s">
        <v>13</v>
      </c>
      <c r="D24" s="1" t="s">
        <v>51</v>
      </c>
      <c r="E24" s="1">
        <v>4200000.0</v>
      </c>
      <c r="F24" s="1">
        <v>4500000.0</v>
      </c>
      <c r="G24" s="2">
        <v>45474.0</v>
      </c>
      <c r="H24" s="1" t="s">
        <v>20</v>
      </c>
      <c r="I24" s="6">
        <f t="shared" si="1"/>
        <v>300000</v>
      </c>
      <c r="J24" s="7">
        <f t="shared" si="2"/>
        <v>7.142857143</v>
      </c>
      <c r="K24" s="6" t="str">
        <f t="shared" si="3"/>
        <v>Over Budget</v>
      </c>
    </row>
    <row r="25">
      <c r="A25" s="1" t="s">
        <v>48</v>
      </c>
      <c r="B25" s="1" t="s">
        <v>49</v>
      </c>
      <c r="C25" s="1" t="s">
        <v>15</v>
      </c>
      <c r="D25" s="1" t="s">
        <v>52</v>
      </c>
      <c r="E25" s="1">
        <v>1800000.0</v>
      </c>
      <c r="F25" s="1">
        <v>1800000.0</v>
      </c>
      <c r="G25" s="2">
        <v>45474.0</v>
      </c>
      <c r="H25" s="1" t="s">
        <v>20</v>
      </c>
      <c r="I25" s="6">
        <f t="shared" si="1"/>
        <v>0</v>
      </c>
      <c r="J25" s="7">
        <f t="shared" si="2"/>
        <v>0</v>
      </c>
      <c r="K25" s="6" t="str">
        <f t="shared" si="3"/>
        <v>Under Budget</v>
      </c>
    </row>
    <row r="26">
      <c r="A26" s="1" t="s">
        <v>53</v>
      </c>
      <c r="B26" s="1" t="s">
        <v>54</v>
      </c>
      <c r="C26" s="1" t="s">
        <v>10</v>
      </c>
      <c r="D26" s="1" t="s">
        <v>55</v>
      </c>
      <c r="E26" s="1">
        <v>3600000.0</v>
      </c>
      <c r="F26" s="1">
        <v>3450000.0</v>
      </c>
      <c r="G26" s="2">
        <v>45474.0</v>
      </c>
      <c r="H26" s="1" t="s">
        <v>36</v>
      </c>
      <c r="I26" s="6">
        <f t="shared" si="1"/>
        <v>-150000</v>
      </c>
      <c r="J26" s="7">
        <f t="shared" si="2"/>
        <v>-4.166666667</v>
      </c>
      <c r="K26" s="6" t="str">
        <f t="shared" si="3"/>
        <v>Under Budget</v>
      </c>
    </row>
    <row r="27">
      <c r="A27" s="1" t="s">
        <v>53</v>
      </c>
      <c r="B27" s="1" t="s">
        <v>54</v>
      </c>
      <c r="C27" s="1" t="s">
        <v>13</v>
      </c>
      <c r="D27" s="1" t="s">
        <v>56</v>
      </c>
      <c r="E27" s="1">
        <v>2000000.0</v>
      </c>
      <c r="F27" s="1">
        <v>2050000.0</v>
      </c>
      <c r="G27" s="2">
        <v>45474.0</v>
      </c>
      <c r="H27" s="1" t="s">
        <v>36</v>
      </c>
      <c r="I27" s="6">
        <f t="shared" si="1"/>
        <v>50000</v>
      </c>
      <c r="J27" s="7">
        <f t="shared" si="2"/>
        <v>2.5</v>
      </c>
      <c r="K27" s="6" t="str">
        <f t="shared" si="3"/>
        <v>Over Budget</v>
      </c>
    </row>
    <row r="28">
      <c r="A28" s="1" t="s">
        <v>53</v>
      </c>
      <c r="B28" s="1" t="s">
        <v>54</v>
      </c>
      <c r="C28" s="1" t="s">
        <v>10</v>
      </c>
      <c r="D28" s="1" t="s">
        <v>57</v>
      </c>
      <c r="E28" s="1">
        <v>1200000.0</v>
      </c>
      <c r="F28" s="1">
        <v>1350000.0</v>
      </c>
      <c r="G28" s="2">
        <v>45505.0</v>
      </c>
      <c r="H28" s="1" t="s">
        <v>36</v>
      </c>
      <c r="I28" s="6">
        <f t="shared" si="1"/>
        <v>150000</v>
      </c>
      <c r="J28" s="7">
        <f t="shared" si="2"/>
        <v>12.5</v>
      </c>
      <c r="K28" s="6" t="str">
        <f t="shared" si="3"/>
        <v>Over Budget</v>
      </c>
    </row>
    <row r="29">
      <c r="A29" s="1" t="s">
        <v>58</v>
      </c>
      <c r="B29" s="1" t="s">
        <v>59</v>
      </c>
      <c r="C29" s="1" t="s">
        <v>10</v>
      </c>
      <c r="D29" s="1" t="s">
        <v>60</v>
      </c>
      <c r="E29" s="1">
        <v>6200000.0</v>
      </c>
      <c r="F29" s="1">
        <v>6800000.0</v>
      </c>
      <c r="G29" s="2">
        <v>45505.0</v>
      </c>
      <c r="H29" s="1" t="s">
        <v>12</v>
      </c>
      <c r="I29" s="6">
        <f t="shared" si="1"/>
        <v>600000</v>
      </c>
      <c r="J29" s="7">
        <f t="shared" si="2"/>
        <v>9.677419355</v>
      </c>
      <c r="K29" s="6" t="str">
        <f t="shared" si="3"/>
        <v>Over Budget</v>
      </c>
    </row>
    <row r="30">
      <c r="A30" s="1" t="s">
        <v>58</v>
      </c>
      <c r="B30" s="1" t="s">
        <v>59</v>
      </c>
      <c r="C30" s="1" t="s">
        <v>13</v>
      </c>
      <c r="D30" s="1" t="s">
        <v>61</v>
      </c>
      <c r="E30" s="1">
        <v>3500000.0</v>
      </c>
      <c r="F30" s="1">
        <v>3700000.0</v>
      </c>
      <c r="G30" s="2">
        <v>45505.0</v>
      </c>
      <c r="H30" s="1" t="s">
        <v>12</v>
      </c>
      <c r="I30" s="6">
        <f t="shared" si="1"/>
        <v>200000</v>
      </c>
      <c r="J30" s="7">
        <f t="shared" si="2"/>
        <v>5.714285714</v>
      </c>
      <c r="K30" s="6" t="str">
        <f t="shared" si="3"/>
        <v>Over Budget</v>
      </c>
    </row>
    <row r="31">
      <c r="A31" s="1" t="s">
        <v>58</v>
      </c>
      <c r="B31" s="1" t="s">
        <v>59</v>
      </c>
      <c r="C31" s="1" t="s">
        <v>15</v>
      </c>
      <c r="D31" s="1" t="s">
        <v>62</v>
      </c>
      <c r="E31" s="1">
        <v>1500000.0</v>
      </c>
      <c r="F31" s="1">
        <v>1500000.0</v>
      </c>
      <c r="G31" s="2">
        <v>45536.0</v>
      </c>
      <c r="H31" s="1" t="s">
        <v>12</v>
      </c>
      <c r="I31" s="6">
        <f t="shared" si="1"/>
        <v>0</v>
      </c>
      <c r="J31" s="7">
        <f t="shared" si="2"/>
        <v>0</v>
      </c>
      <c r="K31" s="6" t="str">
        <f t="shared" si="3"/>
        <v>Under Budget</v>
      </c>
    </row>
    <row r="32">
      <c r="A32" s="1" t="s">
        <v>63</v>
      </c>
      <c r="B32" s="1" t="s">
        <v>64</v>
      </c>
      <c r="C32" s="1" t="s">
        <v>10</v>
      </c>
      <c r="D32" s="1" t="s">
        <v>65</v>
      </c>
      <c r="E32" s="1">
        <v>1.2E7</v>
      </c>
      <c r="F32" s="1">
        <v>1.35E7</v>
      </c>
      <c r="G32" s="2">
        <v>45536.0</v>
      </c>
      <c r="H32" s="1" t="s">
        <v>36</v>
      </c>
      <c r="I32" s="6">
        <f t="shared" si="1"/>
        <v>1500000</v>
      </c>
      <c r="J32" s="7">
        <f t="shared" si="2"/>
        <v>12.5</v>
      </c>
      <c r="K32" s="6" t="str">
        <f t="shared" si="3"/>
        <v>Over Budget</v>
      </c>
    </row>
    <row r="33">
      <c r="A33" s="1" t="s">
        <v>63</v>
      </c>
      <c r="B33" s="1" t="s">
        <v>64</v>
      </c>
      <c r="C33" s="1" t="s">
        <v>13</v>
      </c>
      <c r="D33" s="1" t="s">
        <v>66</v>
      </c>
      <c r="E33" s="1">
        <v>4500000.0</v>
      </c>
      <c r="F33" s="1">
        <v>4800000.0</v>
      </c>
      <c r="G33" s="2">
        <v>45536.0</v>
      </c>
      <c r="H33" s="1" t="s">
        <v>36</v>
      </c>
      <c r="I33" s="6">
        <f t="shared" si="1"/>
        <v>300000</v>
      </c>
      <c r="J33" s="7">
        <f t="shared" si="2"/>
        <v>6.666666667</v>
      </c>
      <c r="K33" s="6" t="str">
        <f t="shared" si="3"/>
        <v>Over Budget</v>
      </c>
    </row>
    <row r="34">
      <c r="A34" s="1" t="s">
        <v>63</v>
      </c>
      <c r="B34" s="1" t="s">
        <v>64</v>
      </c>
      <c r="C34" s="1" t="s">
        <v>10</v>
      </c>
      <c r="D34" s="1" t="s">
        <v>67</v>
      </c>
      <c r="E34" s="1">
        <v>5800000.0</v>
      </c>
      <c r="F34" s="1">
        <v>5650000.0</v>
      </c>
      <c r="G34" s="2">
        <v>45566.0</v>
      </c>
      <c r="H34" s="1" t="s">
        <v>36</v>
      </c>
      <c r="I34" s="6">
        <f t="shared" si="1"/>
        <v>-150000</v>
      </c>
      <c r="J34" s="7">
        <f t="shared" si="2"/>
        <v>-2.586206897</v>
      </c>
      <c r="K34" s="6" t="str">
        <f t="shared" si="3"/>
        <v>Under Budget</v>
      </c>
    </row>
    <row r="35">
      <c r="A35" s="1" t="s">
        <v>68</v>
      </c>
      <c r="B35" s="1" t="s">
        <v>69</v>
      </c>
      <c r="C35" s="1" t="s">
        <v>10</v>
      </c>
      <c r="D35" s="1" t="s">
        <v>30</v>
      </c>
      <c r="E35" s="1">
        <v>1700000.0</v>
      </c>
      <c r="F35" s="1">
        <v>1700000.0</v>
      </c>
      <c r="G35" s="2">
        <v>45566.0</v>
      </c>
      <c r="H35" s="1" t="s">
        <v>20</v>
      </c>
      <c r="I35" s="6">
        <f t="shared" si="1"/>
        <v>0</v>
      </c>
      <c r="J35" s="7">
        <f t="shared" si="2"/>
        <v>0</v>
      </c>
      <c r="K35" s="6" t="str">
        <f t="shared" si="3"/>
        <v>Under Budget</v>
      </c>
    </row>
    <row r="36">
      <c r="A36" s="1" t="s">
        <v>68</v>
      </c>
      <c r="B36" s="1" t="s">
        <v>69</v>
      </c>
      <c r="C36" s="1" t="s">
        <v>13</v>
      </c>
      <c r="D36" s="1" t="s">
        <v>70</v>
      </c>
      <c r="E36" s="1">
        <v>1300000.0</v>
      </c>
      <c r="F36" s="1">
        <v>1420000.0</v>
      </c>
      <c r="G36" s="2">
        <v>45566.0</v>
      </c>
      <c r="H36" s="1" t="s">
        <v>20</v>
      </c>
      <c r="I36" s="6">
        <f t="shared" si="1"/>
        <v>120000</v>
      </c>
      <c r="J36" s="7">
        <f t="shared" si="2"/>
        <v>9.230769231</v>
      </c>
      <c r="K36" s="6" t="str">
        <f t="shared" si="3"/>
        <v>Over Budget</v>
      </c>
    </row>
    <row r="37">
      <c r="A37" s="1" t="s">
        <v>68</v>
      </c>
      <c r="B37" s="1" t="s">
        <v>69</v>
      </c>
      <c r="C37" s="1" t="s">
        <v>10</v>
      </c>
      <c r="D37" s="1" t="s">
        <v>71</v>
      </c>
      <c r="E37" s="1">
        <v>1400000.0</v>
      </c>
      <c r="F37" s="1">
        <v>1380000.0</v>
      </c>
      <c r="G37" s="2">
        <v>45597.0</v>
      </c>
      <c r="H37" s="1" t="s">
        <v>20</v>
      </c>
      <c r="I37" s="6">
        <f t="shared" si="1"/>
        <v>-20000</v>
      </c>
      <c r="J37" s="7">
        <f t="shared" si="2"/>
        <v>-1.428571429</v>
      </c>
      <c r="K37" s="6" t="str">
        <f t="shared" si="3"/>
        <v>Under Budget</v>
      </c>
    </row>
    <row r="38">
      <c r="A38" s="1" t="s">
        <v>72</v>
      </c>
      <c r="B38" s="1" t="s">
        <v>73</v>
      </c>
      <c r="C38" s="1" t="s">
        <v>10</v>
      </c>
      <c r="D38" s="1" t="s">
        <v>74</v>
      </c>
      <c r="E38" s="1">
        <v>9500000.0</v>
      </c>
      <c r="F38" s="1">
        <v>1.02E7</v>
      </c>
      <c r="G38" s="2">
        <v>45597.0</v>
      </c>
      <c r="H38" s="1" t="s">
        <v>20</v>
      </c>
      <c r="I38" s="6">
        <f t="shared" si="1"/>
        <v>700000</v>
      </c>
      <c r="J38" s="7">
        <f t="shared" si="2"/>
        <v>7.368421053</v>
      </c>
      <c r="K38" s="6" t="str">
        <f t="shared" si="3"/>
        <v>Over Budget</v>
      </c>
    </row>
    <row r="39">
      <c r="A39" s="1" t="s">
        <v>72</v>
      </c>
      <c r="B39" s="1" t="s">
        <v>73</v>
      </c>
      <c r="C39" s="1" t="s">
        <v>13</v>
      </c>
      <c r="D39" s="1" t="s">
        <v>75</v>
      </c>
      <c r="E39" s="1">
        <v>4800000.0</v>
      </c>
      <c r="F39" s="1">
        <v>5100000.0</v>
      </c>
      <c r="G39" s="2">
        <v>45597.0</v>
      </c>
      <c r="H39" s="1" t="s">
        <v>20</v>
      </c>
      <c r="I39" s="6">
        <f t="shared" si="1"/>
        <v>300000</v>
      </c>
      <c r="J39" s="7">
        <f t="shared" si="2"/>
        <v>6.25</v>
      </c>
      <c r="K39" s="6" t="str">
        <f t="shared" si="3"/>
        <v>Over Budget</v>
      </c>
    </row>
    <row r="40">
      <c r="A40" s="1" t="s">
        <v>72</v>
      </c>
      <c r="B40" s="1" t="s">
        <v>73</v>
      </c>
      <c r="C40" s="1" t="s">
        <v>15</v>
      </c>
      <c r="D40" s="1" t="s">
        <v>76</v>
      </c>
      <c r="E40" s="1">
        <v>2200000.0</v>
      </c>
      <c r="F40" s="1">
        <v>2200000.0</v>
      </c>
      <c r="G40" s="2">
        <v>45627.0</v>
      </c>
      <c r="H40" s="1" t="s">
        <v>20</v>
      </c>
      <c r="I40" s="6">
        <f t="shared" si="1"/>
        <v>0</v>
      </c>
      <c r="J40" s="7">
        <f t="shared" si="2"/>
        <v>0</v>
      </c>
      <c r="K40" s="6" t="str">
        <f t="shared" si="3"/>
        <v>Under Budget</v>
      </c>
    </row>
    <row r="41">
      <c r="A41" s="1" t="s">
        <v>77</v>
      </c>
      <c r="B41" s="1" t="s">
        <v>78</v>
      </c>
      <c r="C41" s="1" t="s">
        <v>10</v>
      </c>
      <c r="D41" s="1" t="s">
        <v>79</v>
      </c>
      <c r="E41" s="1">
        <v>7200000.0</v>
      </c>
      <c r="F41" s="1">
        <v>7050000.0</v>
      </c>
      <c r="G41" s="2">
        <v>45597.0</v>
      </c>
      <c r="H41" s="1" t="s">
        <v>20</v>
      </c>
      <c r="I41" s="6">
        <f t="shared" si="1"/>
        <v>-150000</v>
      </c>
      <c r="J41" s="7">
        <f t="shared" si="2"/>
        <v>-2.083333333</v>
      </c>
      <c r="K41" s="6" t="str">
        <f t="shared" si="3"/>
        <v>Under Budget</v>
      </c>
    </row>
    <row r="42">
      <c r="A42" s="1" t="s">
        <v>77</v>
      </c>
      <c r="B42" s="1" t="s">
        <v>78</v>
      </c>
      <c r="C42" s="1" t="s">
        <v>13</v>
      </c>
      <c r="D42" s="1" t="s">
        <v>80</v>
      </c>
      <c r="E42" s="1">
        <v>4100000.0</v>
      </c>
      <c r="F42" s="1">
        <v>4350000.0</v>
      </c>
      <c r="G42" s="2">
        <v>45627.0</v>
      </c>
      <c r="H42" s="1" t="s">
        <v>20</v>
      </c>
      <c r="I42" s="6">
        <f t="shared" si="1"/>
        <v>250000</v>
      </c>
      <c r="J42" s="7">
        <f t="shared" si="2"/>
        <v>6.097560976</v>
      </c>
      <c r="K42" s="6" t="str">
        <f t="shared" si="3"/>
        <v>Over Budget</v>
      </c>
    </row>
    <row r="43">
      <c r="A43" s="1" t="s">
        <v>77</v>
      </c>
      <c r="B43" s="1" t="s">
        <v>78</v>
      </c>
      <c r="C43" s="1" t="s">
        <v>10</v>
      </c>
      <c r="D43" s="1" t="s">
        <v>81</v>
      </c>
      <c r="E43" s="1">
        <v>3300000.0</v>
      </c>
      <c r="F43" s="1">
        <v>3480000.0</v>
      </c>
      <c r="G43" s="2">
        <v>45627.0</v>
      </c>
      <c r="H43" s="1" t="s">
        <v>36</v>
      </c>
      <c r="I43" s="6">
        <f t="shared" si="1"/>
        <v>180000</v>
      </c>
      <c r="J43" s="7">
        <f t="shared" si="2"/>
        <v>5.454545455</v>
      </c>
      <c r="K43" s="6" t="str">
        <f t="shared" si="3"/>
        <v>Over Budget</v>
      </c>
    </row>
    <row r="44">
      <c r="A44" s="1" t="s">
        <v>82</v>
      </c>
      <c r="B44" s="1" t="s">
        <v>83</v>
      </c>
      <c r="C44" s="1" t="s">
        <v>10</v>
      </c>
      <c r="D44" s="1" t="s">
        <v>84</v>
      </c>
      <c r="E44" s="1">
        <v>1.1E7</v>
      </c>
      <c r="F44" s="1">
        <v>1.18E7</v>
      </c>
      <c r="G44" s="2">
        <v>45627.0</v>
      </c>
      <c r="H44" s="1" t="s">
        <v>20</v>
      </c>
      <c r="I44" s="6">
        <f t="shared" si="1"/>
        <v>800000</v>
      </c>
      <c r="J44" s="7">
        <f t="shared" si="2"/>
        <v>7.272727273</v>
      </c>
      <c r="K44" s="6" t="str">
        <f t="shared" si="3"/>
        <v>Over Budget</v>
      </c>
    </row>
    <row r="45">
      <c r="A45" s="1" t="s">
        <v>82</v>
      </c>
      <c r="B45" s="1" t="s">
        <v>83</v>
      </c>
      <c r="C45" s="1" t="s">
        <v>13</v>
      </c>
      <c r="D45" s="1" t="s">
        <v>85</v>
      </c>
      <c r="E45" s="1">
        <v>5500000.0</v>
      </c>
      <c r="F45" s="1">
        <v>5900000.0</v>
      </c>
      <c r="G45" s="2">
        <v>45627.0</v>
      </c>
      <c r="H45" s="1" t="s">
        <v>20</v>
      </c>
      <c r="I45" s="6">
        <f t="shared" si="1"/>
        <v>400000</v>
      </c>
      <c r="J45" s="7">
        <f t="shared" si="2"/>
        <v>7.272727273</v>
      </c>
      <c r="K45" s="6" t="str">
        <f t="shared" si="3"/>
        <v>Over Budget</v>
      </c>
    </row>
    <row r="46">
      <c r="A46" s="1" t="s">
        <v>82</v>
      </c>
      <c r="B46" s="1" t="s">
        <v>83</v>
      </c>
      <c r="C46" s="1" t="s">
        <v>15</v>
      </c>
      <c r="D46" s="1" t="s">
        <v>86</v>
      </c>
      <c r="E46" s="1">
        <v>3000000.0</v>
      </c>
      <c r="F46" s="1">
        <v>3000000.0</v>
      </c>
      <c r="G46" s="2">
        <v>45627.0</v>
      </c>
      <c r="H46" s="1" t="s">
        <v>20</v>
      </c>
      <c r="I46" s="6">
        <f t="shared" si="1"/>
        <v>0</v>
      </c>
      <c r="J46" s="7">
        <f t="shared" si="2"/>
        <v>0</v>
      </c>
      <c r="K46" s="6" t="str">
        <f t="shared" si="3"/>
        <v>Under Budget</v>
      </c>
    </row>
    <row r="47">
      <c r="A47" s="1" t="s">
        <v>87</v>
      </c>
      <c r="B47" s="1" t="s">
        <v>88</v>
      </c>
      <c r="C47" s="1" t="s">
        <v>10</v>
      </c>
      <c r="D47" s="1" t="s">
        <v>89</v>
      </c>
      <c r="E47" s="1">
        <v>1600000.0</v>
      </c>
      <c r="F47" s="1">
        <v>1550000.0</v>
      </c>
      <c r="G47" s="2">
        <v>45292.0</v>
      </c>
      <c r="H47" s="1" t="s">
        <v>20</v>
      </c>
      <c r="I47" s="6">
        <f t="shared" si="1"/>
        <v>-50000</v>
      </c>
      <c r="J47" s="7">
        <f t="shared" si="2"/>
        <v>-3.125</v>
      </c>
      <c r="K47" s="6" t="str">
        <f t="shared" si="3"/>
        <v>Under Budget</v>
      </c>
    </row>
    <row r="48">
      <c r="A48" s="1" t="s">
        <v>87</v>
      </c>
      <c r="B48" s="1" t="s">
        <v>88</v>
      </c>
      <c r="C48" s="1" t="s">
        <v>13</v>
      </c>
      <c r="D48" s="1" t="s">
        <v>90</v>
      </c>
      <c r="E48" s="1">
        <v>1100000.0</v>
      </c>
      <c r="F48" s="1">
        <v>1180000.0</v>
      </c>
      <c r="G48" s="2">
        <v>45323.0</v>
      </c>
      <c r="H48" s="1" t="s">
        <v>20</v>
      </c>
      <c r="I48" s="6">
        <f t="shared" si="1"/>
        <v>80000</v>
      </c>
      <c r="J48" s="7">
        <f t="shared" si="2"/>
        <v>7.272727273</v>
      </c>
      <c r="K48" s="6" t="str">
        <f t="shared" si="3"/>
        <v>Over Budget</v>
      </c>
    </row>
    <row r="49">
      <c r="A49" s="1" t="s">
        <v>87</v>
      </c>
      <c r="B49" s="1" t="s">
        <v>88</v>
      </c>
      <c r="C49" s="1" t="s">
        <v>10</v>
      </c>
      <c r="D49" s="1" t="s">
        <v>45</v>
      </c>
      <c r="E49" s="1">
        <v>1350000.0</v>
      </c>
      <c r="F49" s="1">
        <v>1420000.0</v>
      </c>
      <c r="G49" s="2">
        <v>45352.0</v>
      </c>
      <c r="H49" s="1" t="s">
        <v>36</v>
      </c>
      <c r="I49" s="6">
        <f t="shared" si="1"/>
        <v>70000</v>
      </c>
      <c r="J49" s="7">
        <f t="shared" si="2"/>
        <v>5.185185185</v>
      </c>
      <c r="K49" s="6" t="str">
        <f t="shared" si="3"/>
        <v>Over Budget</v>
      </c>
    </row>
    <row r="50">
      <c r="A50" s="1" t="s">
        <v>91</v>
      </c>
      <c r="B50" s="1" t="s">
        <v>92</v>
      </c>
      <c r="C50" s="1" t="s">
        <v>10</v>
      </c>
      <c r="D50" s="1" t="s">
        <v>93</v>
      </c>
      <c r="E50" s="1">
        <v>2100000.0</v>
      </c>
      <c r="F50" s="1">
        <v>2080000.0</v>
      </c>
      <c r="G50" s="2">
        <v>45383.0</v>
      </c>
      <c r="H50" s="1" t="s">
        <v>36</v>
      </c>
      <c r="I50" s="6">
        <f t="shared" si="1"/>
        <v>-20000</v>
      </c>
      <c r="J50" s="7">
        <f t="shared" si="2"/>
        <v>-0.9523809524</v>
      </c>
      <c r="K50" s="6" t="str">
        <f t="shared" si="3"/>
        <v>Under Budget</v>
      </c>
    </row>
    <row r="51">
      <c r="A51" s="1" t="s">
        <v>91</v>
      </c>
      <c r="B51" s="1" t="s">
        <v>92</v>
      </c>
      <c r="C51" s="1" t="s">
        <v>13</v>
      </c>
      <c r="D51" s="1" t="s">
        <v>94</v>
      </c>
      <c r="E51" s="1">
        <v>1400000.0</v>
      </c>
      <c r="F51" s="1">
        <v>1500000.0</v>
      </c>
      <c r="G51" s="3">
        <v>45413.0</v>
      </c>
      <c r="H51" s="1" t="s">
        <v>36</v>
      </c>
      <c r="I51" s="6">
        <f t="shared" si="1"/>
        <v>100000</v>
      </c>
      <c r="J51" s="7">
        <f t="shared" si="2"/>
        <v>7.142857143</v>
      </c>
      <c r="K51" s="6" t="str">
        <f t="shared" si="3"/>
        <v>Over Budget</v>
      </c>
    </row>
    <row r="52">
      <c r="A52" s="1" t="s">
        <v>91</v>
      </c>
      <c r="B52" s="1" t="s">
        <v>92</v>
      </c>
      <c r="C52" s="1" t="s">
        <v>10</v>
      </c>
      <c r="D52" s="1" t="s">
        <v>95</v>
      </c>
      <c r="E52" s="1">
        <v>900000.0</v>
      </c>
      <c r="F52" s="1">
        <v>970000.0</v>
      </c>
      <c r="G52" s="2">
        <v>45444.0</v>
      </c>
      <c r="H52" s="1" t="s">
        <v>36</v>
      </c>
      <c r="I52" s="6">
        <f t="shared" si="1"/>
        <v>70000</v>
      </c>
      <c r="J52" s="7">
        <f t="shared" si="2"/>
        <v>7.777777778</v>
      </c>
      <c r="K52" s="6" t="str">
        <f t="shared" si="3"/>
        <v>Over Budget</v>
      </c>
    </row>
  </sheetData>
  <conditionalFormatting sqref="A2:K52">
    <cfRule type="expression" dxfId="0" priority="1">
      <formula>$K2="Over Budget"</formula>
    </cfRule>
  </conditionalFormatting>
  <conditionalFormatting sqref="A2:K52">
    <cfRule type="expression" dxfId="1" priority="2">
      <formula>$K2="Under Budget"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13"/>
    <col customWidth="1" min="2" max="2" width="22.75"/>
    <col customWidth="1" min="3" max="3" width="21.75"/>
  </cols>
  <sheetData>
    <row r="1"/>
    <row r="2"/>
    <row r="3"/>
    <row r="4"/>
    <row r="5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30"/>
    <row r="31"/>
    <row r="32"/>
    <row r="33"/>
    <row r="34"/>
    <row r="35"/>
    <row r="36"/>
    <row r="37"/>
    <row r="38"/>
    <row r="39"/>
    <row r="40"/>
    <row r="41"/>
    <row r="42"/>
    <row r="43"/>
    <row r="46"/>
    <row r="47"/>
    <row r="48"/>
    <row r="49"/>
    <row r="50"/>
    <row r="51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5.5"/>
    <col customWidth="1" min="5" max="5" width="17.0"/>
    <col customWidth="1" min="7" max="7" width="18.5"/>
  </cols>
  <sheetData>
    <row r="1">
      <c r="A1" s="11" t="s">
        <v>106</v>
      </c>
    </row>
    <row r="3">
      <c r="A3" s="12" t="s">
        <v>107</v>
      </c>
      <c r="C3" s="13" t="s">
        <v>108</v>
      </c>
      <c r="E3" s="12" t="s">
        <v>109</v>
      </c>
      <c r="G3" s="12" t="s">
        <v>110</v>
      </c>
    </row>
    <row r="4">
      <c r="A4" s="14">
        <f>sum(Cleaned_data!E2:E52)</f>
        <v>165080000</v>
      </c>
      <c r="C4" s="14">
        <f>SUM(Cleaned_data!F2:F52)</f>
        <v>174460000</v>
      </c>
      <c r="E4" s="14">
        <f>SUM(Cleaned_data!I2:I52)</f>
        <v>9380000</v>
      </c>
      <c r="G4" s="14">
        <f>COUNTIF(Cleaned_data!K2:K52,"Over Budget")/COUNTA(Cleaned_data!K2:K52)*100</f>
        <v>62.74509804</v>
      </c>
    </row>
    <row r="6">
      <c r="A6" s="15"/>
    </row>
  </sheetData>
  <mergeCells count="1">
    <mergeCell ref="A1:H1"/>
  </mergeCells>
  <drawing r:id="rId1"/>
</worksheet>
</file>